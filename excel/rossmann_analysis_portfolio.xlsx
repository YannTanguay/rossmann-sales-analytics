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988canada-my.sharepoint.com/personal/ytanguay_988_ca/Documents/Documents/MBA 507/Github Projects/rossmann-retail-sales-optimisation/excel/"/>
    </mc:Choice>
  </mc:AlternateContent>
  <xr:revisionPtr revIDLastSave="14" documentId="8_{635E8C61-8916-4E25-8B99-56B94FFC984B}" xr6:coauthVersionLast="47" xr6:coauthVersionMax="47" xr10:uidLastSave="{CAC94530-E427-4103-925D-E2232D15392B}"/>
  <bookViews>
    <workbookView xWindow="-108" yWindow="-108" windowWidth="23256" windowHeight="12456" firstSheet="1" activeTab="4" xr2:uid="{BD6C5845-059D-4BBE-BB4F-A4035CFDFF65}"/>
  </bookViews>
  <sheets>
    <sheet name="SQL_Analysis_Design" sheetId="11" r:id="rId1"/>
    <sheet name="Sales_Performance" sheetId="5" r:id="rId2"/>
    <sheet name="Regression_Model_Plan" sheetId="7" r:id="rId3"/>
    <sheet name="Regression_Results" sheetId="8" r:id="rId4"/>
    <sheet name="Decision_Tree_Model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10" l="1"/>
  <c r="M40" i="10"/>
  <c r="M35" i="10"/>
  <c r="M28" i="10"/>
  <c r="G42" i="10" l="1"/>
  <c r="G30" i="10"/>
  <c r="D37" i="10" s="1"/>
  <c r="D30" i="10" l="1"/>
</calcChain>
</file>

<file path=xl/sharedStrings.xml><?xml version="1.0" encoding="utf-8"?>
<sst xmlns="http://schemas.openxmlformats.org/spreadsheetml/2006/main" count="150" uniqueCount="117">
  <si>
    <t>Grand Total</t>
  </si>
  <si>
    <t>"Yes"</t>
  </si>
  <si>
    <t>"No"</t>
  </si>
  <si>
    <t>Total Sales</t>
  </si>
  <si>
    <t>Row Labels</t>
  </si>
  <si>
    <t>Average Daily Sales</t>
  </si>
  <si>
    <t>Total Customers</t>
  </si>
  <si>
    <t>Sales Trends</t>
  </si>
  <si>
    <t>Promotions Analysis</t>
  </si>
  <si>
    <t>Store Performance</t>
  </si>
  <si>
    <t>We see that expected daily sales are higher when promotions are active (€ 7,196.99) compared to  when promotions are not active (€ 6,327.95).  
This shows an incremental expected sales benefit of € 869.04 per day and per store.  Therefore, management should run promotions, only if the incremental daily promotion cost is below € 869.04.</t>
  </si>
  <si>
    <t>Interpretation:</t>
  </si>
  <si>
    <t>Low Sales</t>
  </si>
  <si>
    <t>No - Do Not Run Promotion</t>
  </si>
  <si>
    <t>High Sales</t>
  </si>
  <si>
    <t>Decision: Run Promotion?</t>
  </si>
  <si>
    <t>Yes - Run Promotion</t>
  </si>
  <si>
    <t>Maximimum justifiable Promotion Cost</t>
  </si>
  <si>
    <t>Retail Promotion Decision Tree Diagram:</t>
  </si>
  <si>
    <t>Low</t>
  </si>
  <si>
    <t>High</t>
  </si>
  <si>
    <t>Average of Sales</t>
  </si>
  <si>
    <t>PromotionActive</t>
  </si>
  <si>
    <t>All sales figures represent average daily store sales in Euros (€).</t>
  </si>
  <si>
    <t xml:space="preserve">Note: </t>
  </si>
  <si>
    <t>Column Labels</t>
  </si>
  <si>
    <t>Count of Sales</t>
  </si>
  <si>
    <t>Promotion Strategy Decision Model - Expected Revenue Analysis</t>
  </si>
  <si>
    <t>Optimize staffing and inventory</t>
  </si>
  <si>
    <t>Forecast expected sales</t>
  </si>
  <si>
    <t>Which stores need support</t>
  </si>
  <si>
    <t>When to run promotions</t>
  </si>
  <si>
    <t>Business Use Case - Help management decide:</t>
  </si>
  <si>
    <t>Competitive pressure on store performance</t>
  </si>
  <si>
    <t>Seasonal sales patterns</t>
  </si>
  <si>
    <t>Effect of customer traffic on sales</t>
  </si>
  <si>
    <t>Impact of promotions on revenue</t>
  </si>
  <si>
    <t>Expected Insights:</t>
  </si>
  <si>
    <t>SchoolHoliday</t>
  </si>
  <si>
    <t>DayOfWeek</t>
  </si>
  <si>
    <t>Month</t>
  </si>
  <si>
    <t>Assortment</t>
  </si>
  <si>
    <t>StoreType</t>
  </si>
  <si>
    <t>CompetitionDistance</t>
  </si>
  <si>
    <t>Promo2</t>
  </si>
  <si>
    <t>Promo</t>
  </si>
  <si>
    <t>Customers</t>
  </si>
  <si>
    <t>Independent Variables:</t>
  </si>
  <si>
    <t>Sales</t>
  </si>
  <si>
    <t>Dependent Variable:</t>
  </si>
  <si>
    <t>Model Structure:</t>
  </si>
  <si>
    <t>Predict daily store sales using operational and promotional drivers</t>
  </si>
  <si>
    <t>Objective:</t>
  </si>
  <si>
    <t>Regression Model Plan &amp; Framework</t>
  </si>
  <si>
    <t xml:space="preserve">Rossmann Retail Sales Optimisation: </t>
  </si>
  <si>
    <r>
      <t xml:space="preserve">Managerial Implications:
</t>
    </r>
    <r>
      <rPr>
        <sz val="11"/>
        <color theme="1"/>
        <rFont val="Aptos Narrow"/>
        <family val="2"/>
        <scheme val="minor"/>
      </rPr>
      <t xml:space="preserve">- Customer traffic is the greatest determinant of sales; each additional customer increases daily sales by €7.37 on average
- Promotions significantly increase expected revenue; increasing daily sales by €1,144.82 on average
- Store type and product assortment have a material affect on sales performance
</t>
    </r>
    <r>
      <rPr>
        <b/>
        <sz val="11"/>
        <color theme="1"/>
        <rFont val="Aptos Narrow"/>
        <family val="2"/>
        <scheme val="minor"/>
      </rPr>
      <t xml:space="preserve">
Model Limitations:
</t>
    </r>
    <r>
      <rPr>
        <sz val="11"/>
        <color theme="1"/>
        <rFont val="Aptos Narrow"/>
        <family val="2"/>
        <scheme val="minor"/>
      </rPr>
      <t xml:space="preserve">- Linear regression naturally assumes constant relationships across stores
- Macro-economic externalities were not factored into this analysis
- Promotion price data were not available and thus could not be included (see Decision Tree for cost-benefit of Promos)
</t>
    </r>
    <r>
      <rPr>
        <b/>
        <sz val="11"/>
        <color theme="1"/>
        <rFont val="Aptos Narrow"/>
        <family val="2"/>
        <scheme val="minor"/>
      </rPr>
      <t xml:space="preserve">
Future Enhancements:
</t>
    </r>
    <r>
      <rPr>
        <sz val="11"/>
        <color theme="1"/>
        <rFont val="Aptos Narrow"/>
        <family val="2"/>
        <scheme val="minor"/>
      </rPr>
      <t>- Forecasts using time series data
- Machine learning models to improve accuracy of predictions
- Clustering of stores to allow for more targeted strategic recommendations</t>
    </r>
  </si>
  <si>
    <t>Key Business Insights from Regression Analysis</t>
  </si>
  <si>
    <t>Assortment_c</t>
  </si>
  <si>
    <t>Assortment_b</t>
  </si>
  <si>
    <t>StoreType_d</t>
  </si>
  <si>
    <t>StoreType_c</t>
  </si>
  <si>
    <t>StoreType_b</t>
  </si>
  <si>
    <t>Promotions also significantly increase expected sales; running  a Promo increases daily sales by €1,144.82 on average</t>
  </si>
  <si>
    <t>Customer traffic is the strongest driver of sales performance; each additional customer increases daily sales by €7.37 on average</t>
  </si>
  <si>
    <t>Intercept</t>
  </si>
  <si>
    <t>Upper 95.0%</t>
  </si>
  <si>
    <t>Lower 95.0%</t>
  </si>
  <si>
    <t>Upper 95%</t>
  </si>
  <si>
    <t>Lower 95%</t>
  </si>
  <si>
    <t>P-value</t>
  </si>
  <si>
    <t>t Stat</t>
  </si>
  <si>
    <t>Standard Error</t>
  </si>
  <si>
    <t>Coefficients</t>
  </si>
  <si>
    <t>Total</t>
  </si>
  <si>
    <t>Residual</t>
  </si>
  <si>
    <t>Significance F = 0, indicating that the model as whole is statistically significant</t>
  </si>
  <si>
    <t>Regression</t>
  </si>
  <si>
    <t>Significance F</t>
  </si>
  <si>
    <t>F</t>
  </si>
  <si>
    <t>MS</t>
  </si>
  <si>
    <t>SS</t>
  </si>
  <si>
    <t>df</t>
  </si>
  <si>
    <t>ANOVA</t>
  </si>
  <si>
    <t>Observations</t>
  </si>
  <si>
    <t>Adjusted R Square</t>
  </si>
  <si>
    <t>Here we see the model explains 82% of the variation in daily store sales, indicating a strong predictive capability</t>
  </si>
  <si>
    <t>R Square</t>
  </si>
  <si>
    <t>Multiple R</t>
  </si>
  <si>
    <t>This Regression Model identifies customer volume, promotions, seasonality and different store characteristics as major divers for sales performance.</t>
  </si>
  <si>
    <t>Regression Statistics</t>
  </si>
  <si>
    <t>SUMMARY OUTPUT</t>
  </si>
  <si>
    <t>GROUP BY Store</t>
  </si>
  <si>
    <t>FROM rossmann_cleaned</t>
  </si>
  <si>
    <t xml:space="preserve">    SUM(Customers) AS Total_Customers</t>
  </si>
  <si>
    <t xml:space="preserve">    SUM(Sales) AS Total_Sales,</t>
  </si>
  <si>
    <t xml:space="preserve">    Store,</t>
  </si>
  <si>
    <t xml:space="preserve">SELECT </t>
  </si>
  <si>
    <t># Store Traffic vs Revenue Relationship: What is the relationship between customer traffic and total sales across stores?</t>
  </si>
  <si>
    <t>ORDER BY Year, Month;</t>
  </si>
  <si>
    <t>GROUP BY Year, Month</t>
  </si>
  <si>
    <t xml:space="preserve">       SUM(Sales) AS Monthly_Sales</t>
  </si>
  <si>
    <t xml:space="preserve">       Month,</t>
  </si>
  <si>
    <t>SELECT Year,</t>
  </si>
  <si>
    <t># Monthly Sales Trends: How do sales and customer traffic vary at a monthly level?</t>
  </si>
  <si>
    <t>GROUP BY PromotionActive;</t>
  </si>
  <si>
    <t xml:space="preserve">       SUM(Sales) AS Total_Sales</t>
  </si>
  <si>
    <t xml:space="preserve">       AVG(Sales) AS Avg_Daily_Sales,</t>
  </si>
  <si>
    <t>SELECT PromotionActive,</t>
  </si>
  <si>
    <t># Promotion Effectiveness:  How do promotions affect the average daily sales and total revenues?</t>
  </si>
  <si>
    <t>LIMIT 10</t>
  </si>
  <si>
    <t>ORDER BY Total_Sales DESC</t>
  </si>
  <si>
    <t xml:space="preserve">       SUM(Customers) AS Total_Customers</t>
  </si>
  <si>
    <t xml:space="preserve">       SUM(Sales) AS Total_Sales,</t>
  </si>
  <si>
    <t>SELECT Store,</t>
  </si>
  <si>
    <t># Retail Performance Ranking: Which stores generate the highest total sales and customer traffic?</t>
  </si>
  <si>
    <t>Rossmann Retail Sales - SQL Analysis Design</t>
  </si>
  <si>
    <t>Recommendation: Run promotions if expected incremental daily cost &lt; €869.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</si>
</sst>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7" tint="0.79998168889431442"/>
      </bottom>
      <diagonal/>
    </border>
    <border>
      <left/>
      <right/>
      <top/>
      <bottom style="thin">
        <color theme="7" tint="-0.249977111117893"/>
      </bottom>
      <diagonal/>
    </border>
    <border>
      <left/>
      <right/>
      <top style="thin">
        <color theme="7" tint="-0.249977111117893"/>
      </top>
      <bottom/>
      <diagonal/>
    </border>
    <border>
      <left/>
      <right/>
      <top style="thin">
        <color theme="7" tint="-0.249977111117893"/>
      </top>
      <bottom style="thin">
        <color theme="7" tint="-0.249977111117893"/>
      </bottom>
      <diagonal/>
    </border>
    <border>
      <left style="medium">
        <color indexed="64"/>
      </left>
      <right/>
      <top/>
      <bottom style="thin">
        <color theme="7" tint="-0.249977111117893"/>
      </bottom>
      <diagonal/>
    </border>
    <border>
      <left style="medium">
        <color indexed="64"/>
      </left>
      <right/>
      <top style="thin">
        <color theme="7" tint="-0.249977111117893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0" fillId="0" borderId="0" xfId="0" applyAlignment="1">
      <alignment horizontal="left" indent="1"/>
    </xf>
    <xf numFmtId="0" fontId="0" fillId="0" borderId="6" xfId="0" applyBorder="1"/>
    <xf numFmtId="0" fontId="0" fillId="0" borderId="2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indent="5"/>
    </xf>
    <xf numFmtId="0" fontId="2" fillId="0" borderId="0" xfId="0" applyFont="1" applyAlignment="1">
      <alignment horizontal="left" indent="5"/>
    </xf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0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0" borderId="0" xfId="0" applyAlignment="1">
      <alignment vertical="top" wrapText="1"/>
    </xf>
    <xf numFmtId="2" fontId="0" fillId="5" borderId="0" xfId="0" applyNumberFormat="1" applyFill="1" applyAlignment="1">
      <alignment horizontal="center" vertical="top" wrapText="1"/>
    </xf>
    <xf numFmtId="0" fontId="2" fillId="0" borderId="0" xfId="0" applyFont="1" applyAlignment="1">
      <alignment horizontal="left"/>
    </xf>
    <xf numFmtId="10" fontId="0" fillId="0" borderId="0" xfId="0" applyNumberFormat="1" applyAlignment="1">
      <alignment horizontal="center"/>
    </xf>
    <xf numFmtId="0" fontId="2" fillId="0" borderId="0" xfId="0" applyFont="1"/>
    <xf numFmtId="0" fontId="0" fillId="0" borderId="5" xfId="0" applyBorder="1" applyAlignment="1">
      <alignment horizontal="left" indent="1"/>
    </xf>
    <xf numFmtId="0" fontId="0" fillId="6" borderId="0" xfId="0" applyFill="1"/>
    <xf numFmtId="0" fontId="4" fillId="0" borderId="0" xfId="0" applyFont="1"/>
    <xf numFmtId="0" fontId="0" fillId="3" borderId="0" xfId="0" applyFill="1"/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Continuous"/>
    </xf>
    <xf numFmtId="0" fontId="2" fillId="5" borderId="0" xfId="0" applyFont="1" applyFill="1"/>
    <xf numFmtId="0" fontId="0" fillId="0" borderId="0" xfId="0" applyAlignment="1">
      <alignment horizontal="left" indent="2"/>
    </xf>
    <xf numFmtId="0" fontId="0" fillId="0" borderId="14" xfId="0" applyBorder="1"/>
    <xf numFmtId="0" fontId="2" fillId="5" borderId="15" xfId="0" applyFont="1" applyFill="1" applyBorder="1"/>
    <xf numFmtId="10" fontId="0" fillId="0" borderId="16" xfId="0" applyNumberFormat="1" applyBorder="1" applyAlignment="1">
      <alignment horizontal="center"/>
    </xf>
    <xf numFmtId="0" fontId="2" fillId="5" borderId="16" xfId="0" applyFont="1" applyFill="1" applyBorder="1"/>
    <xf numFmtId="2" fontId="2" fillId="5" borderId="16" xfId="0" applyNumberFormat="1" applyFont="1" applyFill="1" applyBorder="1" applyAlignment="1">
      <alignment horizontal="center"/>
    </xf>
    <xf numFmtId="0" fontId="2" fillId="0" borderId="17" xfId="0" applyFont="1" applyBorder="1"/>
    <xf numFmtId="2" fontId="2" fillId="0" borderId="17" xfId="0" applyNumberFormat="1" applyFont="1" applyBorder="1" applyAlignment="1">
      <alignment horizontal="center"/>
    </xf>
    <xf numFmtId="0" fontId="2" fillId="0" borderId="15" xfId="0" applyFont="1" applyBorder="1"/>
    <xf numFmtId="2" fontId="2" fillId="0" borderId="15" xfId="0" applyNumberFormat="1" applyFont="1" applyBorder="1" applyAlignment="1">
      <alignment horizontal="center"/>
    </xf>
    <xf numFmtId="10" fontId="2" fillId="5" borderId="16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2" fillId="5" borderId="18" xfId="0" applyFont="1" applyFill="1" applyBorder="1"/>
    <xf numFmtId="0" fontId="2" fillId="5" borderId="19" xfId="0" applyFont="1" applyFill="1" applyBorder="1"/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9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11</xdr:col>
      <xdr:colOff>474732</xdr:colOff>
      <xdr:row>18</xdr:row>
      <xdr:rowOff>53340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E9C0F3F-6DF6-D704-84F3-0BBFB526D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1220" y="647700"/>
          <a:ext cx="5542032" cy="2796540"/>
        </a:xfrm>
        <a:prstGeom prst="rect">
          <a:avLst/>
        </a:prstGeom>
      </xdr:spPr>
    </xdr:pic>
    <xdr:clientData/>
  </xdr:twoCellAnchor>
  <xdr:twoCellAnchor editAs="oneCell">
    <xdr:from>
      <xdr:col>5</xdr:col>
      <xdr:colOff>99061</xdr:colOff>
      <xdr:row>28</xdr:row>
      <xdr:rowOff>105988</xdr:rowOff>
    </xdr:from>
    <xdr:to>
      <xdr:col>11</xdr:col>
      <xdr:colOff>489857</xdr:colOff>
      <xdr:row>44</xdr:row>
      <xdr:rowOff>146935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CADDB98-3B5C-9550-192E-6B427A057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604" y="5494417"/>
          <a:ext cx="5278482" cy="3023632"/>
        </a:xfrm>
        <a:prstGeom prst="rect">
          <a:avLst/>
        </a:prstGeom>
      </xdr:spPr>
    </xdr:pic>
    <xdr:clientData/>
  </xdr:twoCellAnchor>
  <xdr:twoCellAnchor editAs="oneCell">
    <xdr:from>
      <xdr:col>13</xdr:col>
      <xdr:colOff>102871</xdr:colOff>
      <xdr:row>16</xdr:row>
      <xdr:rowOff>41910</xdr:rowOff>
    </xdr:from>
    <xdr:to>
      <xdr:col>19</xdr:col>
      <xdr:colOff>449581</xdr:colOff>
      <xdr:row>34</xdr:row>
      <xdr:rowOff>36819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AFF5F35-7EAE-2DDB-E365-B2C4C171C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11491" y="3067050"/>
          <a:ext cx="5360670" cy="3393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</xdr:colOff>
      <xdr:row>35</xdr:row>
      <xdr:rowOff>38100</xdr:rowOff>
    </xdr:from>
    <xdr:ext cx="158751" cy="147320"/>
    <xdr:sp macro="" textlink="">
      <xdr:nvSpPr>
        <xdr:cNvPr id="2" name="Solver_shape$B$11">
          <a:extLst>
            <a:ext uri="{FF2B5EF4-FFF2-40B4-BE49-F238E27FC236}">
              <a16:creationId xmlns:a16="http://schemas.microsoft.com/office/drawing/2014/main" id="{5715D928-67E1-4907-9B10-B9A1284BC8FC}"/>
            </a:ext>
          </a:extLst>
        </xdr:cNvPr>
        <xdr:cNvSpPr/>
      </xdr:nvSpPr>
      <xdr:spPr>
        <a:xfrm>
          <a:off x="2682240" y="6179820"/>
          <a:ext cx="158751" cy="147320"/>
        </a:xfrm>
        <a:prstGeom prst="flowChartProcess">
          <a:avLst/>
        </a:prstGeom>
        <a:noFill/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oneCellAnchor>
  <xdr:oneCellAnchor>
    <xdr:from>
      <xdr:col>6</xdr:col>
      <xdr:colOff>567267</xdr:colOff>
      <xdr:row>30</xdr:row>
      <xdr:rowOff>25400</xdr:rowOff>
    </xdr:from>
    <xdr:ext cx="169333" cy="152400"/>
    <xdr:sp macro="" textlink="">
      <xdr:nvSpPr>
        <xdr:cNvPr id="3" name="Solver_shape$F$10">
          <a:extLst>
            <a:ext uri="{FF2B5EF4-FFF2-40B4-BE49-F238E27FC236}">
              <a16:creationId xmlns:a16="http://schemas.microsoft.com/office/drawing/2014/main" id="{18F57835-2261-4DA0-928E-1CF8EC077A17}"/>
            </a:ext>
          </a:extLst>
        </xdr:cNvPr>
        <xdr:cNvSpPr/>
      </xdr:nvSpPr>
      <xdr:spPr>
        <a:xfrm>
          <a:off x="4529667" y="5252720"/>
          <a:ext cx="169333" cy="152400"/>
        </a:xfrm>
        <a:prstGeom prst="flowChartConnector">
          <a:avLst/>
        </a:prstGeom>
        <a:noFill/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oneCellAnchor>
  <xdr:oneCellAnchor>
    <xdr:from>
      <xdr:col>6</xdr:col>
      <xdr:colOff>592666</xdr:colOff>
      <xdr:row>42</xdr:row>
      <xdr:rowOff>16932</xdr:rowOff>
    </xdr:from>
    <xdr:ext cx="169333" cy="152400"/>
    <xdr:sp macro="" textlink="">
      <xdr:nvSpPr>
        <xdr:cNvPr id="4" name="Solver_shape$F$10">
          <a:extLst>
            <a:ext uri="{FF2B5EF4-FFF2-40B4-BE49-F238E27FC236}">
              <a16:creationId xmlns:a16="http://schemas.microsoft.com/office/drawing/2014/main" id="{5BE9AD18-171B-4264-8C8E-4917B4877D18}"/>
            </a:ext>
          </a:extLst>
        </xdr:cNvPr>
        <xdr:cNvSpPr/>
      </xdr:nvSpPr>
      <xdr:spPr>
        <a:xfrm>
          <a:off x="4555066" y="7438812"/>
          <a:ext cx="169333" cy="152400"/>
        </a:xfrm>
        <a:prstGeom prst="flowChartConnector">
          <a:avLst/>
        </a:prstGeom>
        <a:noFill/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oneCellAnchor>
  <xdr:oneCellAnchor>
    <xdr:from>
      <xdr:col>11</xdr:col>
      <xdr:colOff>440267</xdr:colOff>
      <xdr:row>34</xdr:row>
      <xdr:rowOff>25400</xdr:rowOff>
    </xdr:from>
    <xdr:ext cx="170180" cy="147320"/>
    <xdr:sp macro="" textlink="">
      <xdr:nvSpPr>
        <xdr:cNvPr id="5" name="Solver_shape$J$8">
          <a:extLst>
            <a:ext uri="{FF2B5EF4-FFF2-40B4-BE49-F238E27FC236}">
              <a16:creationId xmlns:a16="http://schemas.microsoft.com/office/drawing/2014/main" id="{08C99B6A-CAD2-46E2-A1C7-5C09374362EB}"/>
            </a:ext>
          </a:extLst>
        </xdr:cNvPr>
        <xdr:cNvSpPr/>
      </xdr:nvSpPr>
      <xdr:spPr>
        <a:xfrm rot="16200000">
          <a:off x="7462097" y="5972810"/>
          <a:ext cx="147320" cy="170180"/>
        </a:xfrm>
        <a:prstGeom prst="flowChartExtract">
          <a:avLst/>
        </a:prstGeom>
        <a:noFill/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oneCellAnchor>
  <xdr:oneCellAnchor>
    <xdr:from>
      <xdr:col>11</xdr:col>
      <xdr:colOff>440267</xdr:colOff>
      <xdr:row>27</xdr:row>
      <xdr:rowOff>25400</xdr:rowOff>
    </xdr:from>
    <xdr:ext cx="170180" cy="147320"/>
    <xdr:sp macro="" textlink="">
      <xdr:nvSpPr>
        <xdr:cNvPr id="6" name="Solver_shape$J$8">
          <a:extLst>
            <a:ext uri="{FF2B5EF4-FFF2-40B4-BE49-F238E27FC236}">
              <a16:creationId xmlns:a16="http://schemas.microsoft.com/office/drawing/2014/main" id="{BE7639B0-516F-4F7E-B86B-F96223C5F062}"/>
            </a:ext>
          </a:extLst>
        </xdr:cNvPr>
        <xdr:cNvSpPr/>
      </xdr:nvSpPr>
      <xdr:spPr>
        <a:xfrm rot="16200000">
          <a:off x="7462097" y="4692650"/>
          <a:ext cx="147320" cy="170180"/>
        </a:xfrm>
        <a:prstGeom prst="flowChartExtract">
          <a:avLst/>
        </a:prstGeom>
        <a:noFill/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oneCellAnchor>
  <xdr:oneCellAnchor>
    <xdr:from>
      <xdr:col>11</xdr:col>
      <xdr:colOff>431800</xdr:colOff>
      <xdr:row>39</xdr:row>
      <xdr:rowOff>33866</xdr:rowOff>
    </xdr:from>
    <xdr:ext cx="170180" cy="147320"/>
    <xdr:sp macro="" textlink="">
      <xdr:nvSpPr>
        <xdr:cNvPr id="7" name="Solver_shape$J$8">
          <a:extLst>
            <a:ext uri="{FF2B5EF4-FFF2-40B4-BE49-F238E27FC236}">
              <a16:creationId xmlns:a16="http://schemas.microsoft.com/office/drawing/2014/main" id="{EEE92CF9-0D9A-4754-B2EB-BDEBFFD75F74}"/>
            </a:ext>
          </a:extLst>
        </xdr:cNvPr>
        <xdr:cNvSpPr/>
      </xdr:nvSpPr>
      <xdr:spPr>
        <a:xfrm rot="16200000">
          <a:off x="7453630" y="6895676"/>
          <a:ext cx="147320" cy="170180"/>
        </a:xfrm>
        <a:prstGeom prst="flowChartExtract">
          <a:avLst/>
        </a:prstGeom>
        <a:noFill/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oneCellAnchor>
  <xdr:oneCellAnchor>
    <xdr:from>
      <xdr:col>11</xdr:col>
      <xdr:colOff>423333</xdr:colOff>
      <xdr:row>46</xdr:row>
      <xdr:rowOff>25400</xdr:rowOff>
    </xdr:from>
    <xdr:ext cx="170180" cy="147320"/>
    <xdr:sp macro="" textlink="">
      <xdr:nvSpPr>
        <xdr:cNvPr id="8" name="Solver_shape$J$8">
          <a:extLst>
            <a:ext uri="{FF2B5EF4-FFF2-40B4-BE49-F238E27FC236}">
              <a16:creationId xmlns:a16="http://schemas.microsoft.com/office/drawing/2014/main" id="{3C57A6A7-6CEB-4A12-99BF-FA4FA3F7ED91}"/>
            </a:ext>
          </a:extLst>
        </xdr:cNvPr>
        <xdr:cNvSpPr/>
      </xdr:nvSpPr>
      <xdr:spPr>
        <a:xfrm rot="16200000">
          <a:off x="7445163" y="8167370"/>
          <a:ext cx="147320" cy="170180"/>
        </a:xfrm>
        <a:prstGeom prst="flowChartExtract">
          <a:avLst/>
        </a:prstGeom>
        <a:noFill/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oneCellAnchor>
  <xdr:twoCellAnchor>
    <xdr:from>
      <xdr:col>8</xdr:col>
      <xdr:colOff>228600</xdr:colOff>
      <xdr:row>46</xdr:row>
      <xdr:rowOff>93133</xdr:rowOff>
    </xdr:from>
    <xdr:to>
      <xdr:col>11</xdr:col>
      <xdr:colOff>409575</xdr:colOff>
      <xdr:row>46</xdr:row>
      <xdr:rowOff>93133</xdr:rowOff>
    </xdr:to>
    <xdr:cxnSp macro="">
      <xdr:nvCxnSpPr>
        <xdr:cNvPr id="9" name="Solver_line$F$20">
          <a:extLst>
            <a:ext uri="{FF2B5EF4-FFF2-40B4-BE49-F238E27FC236}">
              <a16:creationId xmlns:a16="http://schemas.microsoft.com/office/drawing/2014/main" id="{A6A0F113-5C97-43F4-A0A9-F42677E74A9E}"/>
            </a:ext>
          </a:extLst>
        </xdr:cNvPr>
        <xdr:cNvCxnSpPr/>
      </xdr:nvCxnSpPr>
      <xdr:spPr>
        <a:xfrm>
          <a:off x="5410200" y="8246533"/>
          <a:ext cx="2009775" cy="0"/>
        </a:xfrm>
        <a:prstGeom prst="line">
          <a:avLst/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262467</xdr:colOff>
      <xdr:row>39</xdr:row>
      <xdr:rowOff>84667</xdr:rowOff>
    </xdr:from>
    <xdr:ext cx="2022777" cy="28196"/>
    <xdr:pic>
      <xdr:nvPicPr>
        <xdr:cNvPr id="10" name="Picture 9">
          <a:extLst>
            <a:ext uri="{FF2B5EF4-FFF2-40B4-BE49-F238E27FC236}">
              <a16:creationId xmlns:a16="http://schemas.microsoft.com/office/drawing/2014/main" id="{7B2BB70E-0AA8-4C65-88AE-D73C8358E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4067" y="6957907"/>
          <a:ext cx="2022777" cy="28196"/>
        </a:xfrm>
        <a:prstGeom prst="rect">
          <a:avLst/>
        </a:prstGeom>
      </xdr:spPr>
    </xdr:pic>
    <xdr:clientData/>
  </xdr:oneCellAnchor>
  <xdr:twoCellAnchor>
    <xdr:from>
      <xdr:col>8</xdr:col>
      <xdr:colOff>254000</xdr:colOff>
      <xdr:row>34</xdr:row>
      <xdr:rowOff>101600</xdr:rowOff>
    </xdr:from>
    <xdr:to>
      <xdr:col>11</xdr:col>
      <xdr:colOff>434975</xdr:colOff>
      <xdr:row>34</xdr:row>
      <xdr:rowOff>101600</xdr:rowOff>
    </xdr:to>
    <xdr:cxnSp macro="">
      <xdr:nvCxnSpPr>
        <xdr:cNvPr id="11" name="Solver_line$F$20">
          <a:extLst>
            <a:ext uri="{FF2B5EF4-FFF2-40B4-BE49-F238E27FC236}">
              <a16:creationId xmlns:a16="http://schemas.microsoft.com/office/drawing/2014/main" id="{1CD267AA-842F-4A2E-80D2-E68D0A371EFC}"/>
            </a:ext>
          </a:extLst>
        </xdr:cNvPr>
        <xdr:cNvCxnSpPr/>
      </xdr:nvCxnSpPr>
      <xdr:spPr>
        <a:xfrm>
          <a:off x="5435600" y="6060440"/>
          <a:ext cx="2009775" cy="0"/>
        </a:xfrm>
        <a:prstGeom prst="line">
          <a:avLst/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254000</xdr:colOff>
      <xdr:row>27</xdr:row>
      <xdr:rowOff>93133</xdr:rowOff>
    </xdr:from>
    <xdr:ext cx="2026587" cy="26926"/>
    <xdr:pic>
      <xdr:nvPicPr>
        <xdr:cNvPr id="12" name="Picture 11">
          <a:extLst>
            <a:ext uri="{FF2B5EF4-FFF2-40B4-BE49-F238E27FC236}">
              <a16:creationId xmlns:a16="http://schemas.microsoft.com/office/drawing/2014/main" id="{ACB62ADE-A9C0-4BB8-B570-8DB4D0346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5600" y="4771813"/>
          <a:ext cx="2026587" cy="26926"/>
        </a:xfrm>
        <a:prstGeom prst="rect">
          <a:avLst/>
        </a:prstGeom>
      </xdr:spPr>
    </xdr:pic>
    <xdr:clientData/>
  </xdr:oneCellAnchor>
  <xdr:twoCellAnchor>
    <xdr:from>
      <xdr:col>7</xdr:col>
      <xdr:colOff>127601</xdr:colOff>
      <xdr:row>39</xdr:row>
      <xdr:rowOff>96860</xdr:rowOff>
    </xdr:from>
    <xdr:to>
      <xdr:col>8</xdr:col>
      <xdr:colOff>262467</xdr:colOff>
      <xdr:row>42</xdr:row>
      <xdr:rowOff>39250</xdr:rowOff>
    </xdr:to>
    <xdr:cxnSp macro="">
      <xdr:nvCxnSpPr>
        <xdr:cNvPr id="13" name="Solver_shapecon$J$8">
          <a:extLst>
            <a:ext uri="{FF2B5EF4-FFF2-40B4-BE49-F238E27FC236}">
              <a16:creationId xmlns:a16="http://schemas.microsoft.com/office/drawing/2014/main" id="{F5181780-35B5-438B-87A9-EF24F739B9FE}"/>
            </a:ext>
          </a:extLst>
        </xdr:cNvPr>
        <xdr:cNvCxnSpPr>
          <a:stCxn id="4" idx="7"/>
          <a:endCxn id="10" idx="1"/>
        </xdr:cNvCxnSpPr>
      </xdr:nvCxnSpPr>
      <xdr:spPr>
        <a:xfrm flipV="1">
          <a:off x="4699601" y="6970100"/>
          <a:ext cx="744466" cy="491030"/>
        </a:xfrm>
        <a:prstGeom prst="line">
          <a:avLst/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127601</xdr:colOff>
      <xdr:row>42</xdr:row>
      <xdr:rowOff>147014</xdr:rowOff>
    </xdr:from>
    <xdr:to>
      <xdr:col>8</xdr:col>
      <xdr:colOff>237067</xdr:colOff>
      <xdr:row>46</xdr:row>
      <xdr:rowOff>93134</xdr:rowOff>
    </xdr:to>
    <xdr:cxnSp macro="">
      <xdr:nvCxnSpPr>
        <xdr:cNvPr id="14" name="Solver_shapecon$J$8">
          <a:extLst>
            <a:ext uri="{FF2B5EF4-FFF2-40B4-BE49-F238E27FC236}">
              <a16:creationId xmlns:a16="http://schemas.microsoft.com/office/drawing/2014/main" id="{B5AFB631-A049-4138-8920-013B7D0FC1A8}"/>
            </a:ext>
          </a:extLst>
        </xdr:cNvPr>
        <xdr:cNvCxnSpPr>
          <a:stCxn id="4" idx="5"/>
        </xdr:cNvCxnSpPr>
      </xdr:nvCxnSpPr>
      <xdr:spPr>
        <a:xfrm>
          <a:off x="4699601" y="7568894"/>
          <a:ext cx="719066" cy="677640"/>
        </a:xfrm>
        <a:prstGeom prst="line">
          <a:avLst/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102202</xdr:colOff>
      <xdr:row>30</xdr:row>
      <xdr:rowOff>155482</xdr:rowOff>
    </xdr:from>
    <xdr:to>
      <xdr:col>8</xdr:col>
      <xdr:colOff>254000</xdr:colOff>
      <xdr:row>34</xdr:row>
      <xdr:rowOff>101600</xdr:rowOff>
    </xdr:to>
    <xdr:cxnSp macro="">
      <xdr:nvCxnSpPr>
        <xdr:cNvPr id="15" name="Solver_shapecon$J$8">
          <a:extLst>
            <a:ext uri="{FF2B5EF4-FFF2-40B4-BE49-F238E27FC236}">
              <a16:creationId xmlns:a16="http://schemas.microsoft.com/office/drawing/2014/main" id="{43BE342F-2EAB-4993-A61A-78FF7A4BC7CA}"/>
            </a:ext>
          </a:extLst>
        </xdr:cNvPr>
        <xdr:cNvCxnSpPr>
          <a:stCxn id="3" idx="5"/>
        </xdr:cNvCxnSpPr>
      </xdr:nvCxnSpPr>
      <xdr:spPr>
        <a:xfrm>
          <a:off x="4674202" y="5382802"/>
          <a:ext cx="761398" cy="677638"/>
        </a:xfrm>
        <a:prstGeom prst="line">
          <a:avLst/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127000</xdr:colOff>
      <xdr:row>27</xdr:row>
      <xdr:rowOff>105326</xdr:rowOff>
    </xdr:from>
    <xdr:to>
      <xdr:col>8</xdr:col>
      <xdr:colOff>254000</xdr:colOff>
      <xdr:row>30</xdr:row>
      <xdr:rowOff>101600</xdr:rowOff>
    </xdr:to>
    <xdr:cxnSp macro="">
      <xdr:nvCxnSpPr>
        <xdr:cNvPr id="16" name="Solver_shapecon$J$8">
          <a:extLst>
            <a:ext uri="{FF2B5EF4-FFF2-40B4-BE49-F238E27FC236}">
              <a16:creationId xmlns:a16="http://schemas.microsoft.com/office/drawing/2014/main" id="{BA0EF7CD-E6EA-49AD-AE20-325C0F7FCF43}"/>
            </a:ext>
          </a:extLst>
        </xdr:cNvPr>
        <xdr:cNvCxnSpPr>
          <a:stCxn id="3" idx="6"/>
          <a:endCxn id="12" idx="1"/>
        </xdr:cNvCxnSpPr>
      </xdr:nvCxnSpPr>
      <xdr:spPr>
        <a:xfrm flipV="1">
          <a:off x="4699000" y="4784006"/>
          <a:ext cx="736600" cy="544914"/>
        </a:xfrm>
        <a:prstGeom prst="line">
          <a:avLst/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397933</xdr:colOff>
      <xdr:row>42</xdr:row>
      <xdr:rowOff>84666</xdr:rowOff>
    </xdr:from>
    <xdr:to>
      <xdr:col>6</xdr:col>
      <xdr:colOff>592666</xdr:colOff>
      <xdr:row>42</xdr:row>
      <xdr:rowOff>93132</xdr:rowOff>
    </xdr:to>
    <xdr:cxnSp macro="">
      <xdr:nvCxnSpPr>
        <xdr:cNvPr id="17" name="Solver_shapecon$J$8">
          <a:extLst>
            <a:ext uri="{FF2B5EF4-FFF2-40B4-BE49-F238E27FC236}">
              <a16:creationId xmlns:a16="http://schemas.microsoft.com/office/drawing/2014/main" id="{9BFBD411-E584-4A39-B609-523DD41D9AE1}"/>
            </a:ext>
          </a:extLst>
        </xdr:cNvPr>
        <xdr:cNvCxnSpPr>
          <a:endCxn id="4" idx="2"/>
        </xdr:cNvCxnSpPr>
      </xdr:nvCxnSpPr>
      <xdr:spPr>
        <a:xfrm>
          <a:off x="3072553" y="7506546"/>
          <a:ext cx="1482513" cy="8466"/>
        </a:xfrm>
        <a:prstGeom prst="line">
          <a:avLst/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533400</xdr:colOff>
      <xdr:row>30</xdr:row>
      <xdr:rowOff>101600</xdr:rowOff>
    </xdr:from>
    <xdr:to>
      <xdr:col>6</xdr:col>
      <xdr:colOff>567267</xdr:colOff>
      <xdr:row>30</xdr:row>
      <xdr:rowOff>101600</xdr:rowOff>
    </xdr:to>
    <xdr:cxnSp macro="">
      <xdr:nvCxnSpPr>
        <xdr:cNvPr id="18" name="Solver_shapecon$J$8">
          <a:extLst>
            <a:ext uri="{FF2B5EF4-FFF2-40B4-BE49-F238E27FC236}">
              <a16:creationId xmlns:a16="http://schemas.microsoft.com/office/drawing/2014/main" id="{3C9BAC43-36CB-4F6C-9EAC-3C5C05C49C88}"/>
            </a:ext>
          </a:extLst>
        </xdr:cNvPr>
        <xdr:cNvCxnSpPr>
          <a:endCxn id="3" idx="2"/>
        </xdr:cNvCxnSpPr>
      </xdr:nvCxnSpPr>
      <xdr:spPr>
        <a:xfrm>
          <a:off x="3208020" y="5328920"/>
          <a:ext cx="1321647" cy="0"/>
        </a:xfrm>
        <a:prstGeom prst="line">
          <a:avLst/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166371</xdr:colOff>
      <xdr:row>30</xdr:row>
      <xdr:rowOff>110066</xdr:rowOff>
    </xdr:from>
    <xdr:to>
      <xdr:col>4</xdr:col>
      <xdr:colOff>524933</xdr:colOff>
      <xdr:row>35</xdr:row>
      <xdr:rowOff>111760</xdr:rowOff>
    </xdr:to>
    <xdr:cxnSp macro="">
      <xdr:nvCxnSpPr>
        <xdr:cNvPr id="19" name="Solver_shapecon$J$8">
          <a:extLst>
            <a:ext uri="{FF2B5EF4-FFF2-40B4-BE49-F238E27FC236}">
              <a16:creationId xmlns:a16="http://schemas.microsoft.com/office/drawing/2014/main" id="{A831CDA5-0434-46DB-A947-BB0467F9137D}"/>
            </a:ext>
          </a:extLst>
        </xdr:cNvPr>
        <xdr:cNvCxnSpPr>
          <a:stCxn id="2" idx="3"/>
        </xdr:cNvCxnSpPr>
      </xdr:nvCxnSpPr>
      <xdr:spPr>
        <a:xfrm flipV="1">
          <a:off x="2840991" y="5337386"/>
          <a:ext cx="358562" cy="916094"/>
        </a:xfrm>
        <a:prstGeom prst="line">
          <a:avLst/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166371</xdr:colOff>
      <xdr:row>35</xdr:row>
      <xdr:rowOff>111760</xdr:rowOff>
    </xdr:from>
    <xdr:to>
      <xdr:col>4</xdr:col>
      <xdr:colOff>406400</xdr:colOff>
      <xdr:row>42</xdr:row>
      <xdr:rowOff>84666</xdr:rowOff>
    </xdr:to>
    <xdr:cxnSp macro="">
      <xdr:nvCxnSpPr>
        <xdr:cNvPr id="20" name="Solver_shapecon$J$8">
          <a:extLst>
            <a:ext uri="{FF2B5EF4-FFF2-40B4-BE49-F238E27FC236}">
              <a16:creationId xmlns:a16="http://schemas.microsoft.com/office/drawing/2014/main" id="{694B8108-26DE-4533-9D9A-E45530B048B7}"/>
            </a:ext>
          </a:extLst>
        </xdr:cNvPr>
        <xdr:cNvCxnSpPr>
          <a:endCxn id="2" idx="3"/>
        </xdr:cNvCxnSpPr>
      </xdr:nvCxnSpPr>
      <xdr:spPr>
        <a:xfrm flipH="1" flipV="1">
          <a:off x="2840991" y="6253480"/>
          <a:ext cx="240029" cy="1253066"/>
        </a:xfrm>
        <a:prstGeom prst="line">
          <a:avLst/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D4245-1D67-499F-96E1-726DC61990CC}">
  <dimension ref="B1:K36"/>
  <sheetViews>
    <sheetView showGridLines="0" zoomScale="80" zoomScaleNormal="80" workbookViewId="0">
      <selection activeCell="T6" sqref="T6"/>
    </sheetView>
  </sheetViews>
  <sheetFormatPr defaultRowHeight="14.4" x14ac:dyDescent="0.3"/>
  <cols>
    <col min="1" max="1" width="2.88671875" customWidth="1"/>
    <col min="11" max="11" width="8.77734375" customWidth="1"/>
  </cols>
  <sheetData>
    <row r="1" spans="2:11" ht="15.6" customHeight="1" thickBot="1" x14ac:dyDescent="0.35"/>
    <row r="2" spans="2:11" ht="21.6" thickBot="1" x14ac:dyDescent="0.45">
      <c r="B2" s="51" t="s">
        <v>115</v>
      </c>
      <c r="C2" s="49"/>
      <c r="D2" s="49"/>
      <c r="E2" s="49"/>
      <c r="F2" s="49"/>
      <c r="G2" s="49"/>
      <c r="H2" s="49"/>
      <c r="I2" s="49"/>
      <c r="J2" s="49"/>
      <c r="K2" s="50"/>
    </row>
    <row r="3" spans="2:11" x14ac:dyDescent="0.3">
      <c r="B3" s="9"/>
      <c r="C3" s="8"/>
      <c r="D3" s="8"/>
      <c r="E3" s="8"/>
      <c r="F3" s="8"/>
      <c r="G3" s="8"/>
      <c r="H3" s="8"/>
      <c r="I3" s="8"/>
      <c r="J3" s="8"/>
      <c r="K3" s="7"/>
    </row>
    <row r="4" spans="2:11" x14ac:dyDescent="0.3">
      <c r="B4" s="5" t="s">
        <v>114</v>
      </c>
      <c r="K4" s="4"/>
    </row>
    <row r="5" spans="2:11" x14ac:dyDescent="0.3">
      <c r="B5" s="5" t="s">
        <v>113</v>
      </c>
      <c r="K5" s="4"/>
    </row>
    <row r="6" spans="2:11" x14ac:dyDescent="0.3">
      <c r="B6" s="5" t="s">
        <v>112</v>
      </c>
      <c r="K6" s="4"/>
    </row>
    <row r="7" spans="2:11" x14ac:dyDescent="0.3">
      <c r="B7" s="5" t="s">
        <v>111</v>
      </c>
      <c r="K7" s="4"/>
    </row>
    <row r="8" spans="2:11" x14ac:dyDescent="0.3">
      <c r="B8" s="5" t="s">
        <v>92</v>
      </c>
      <c r="K8" s="4"/>
    </row>
    <row r="9" spans="2:11" x14ac:dyDescent="0.3">
      <c r="B9" s="5" t="s">
        <v>91</v>
      </c>
      <c r="K9" s="4"/>
    </row>
    <row r="10" spans="2:11" x14ac:dyDescent="0.3">
      <c r="B10" s="5" t="s">
        <v>110</v>
      </c>
      <c r="K10" s="4"/>
    </row>
    <row r="11" spans="2:11" x14ac:dyDescent="0.3">
      <c r="B11" s="5" t="s">
        <v>109</v>
      </c>
      <c r="K11" s="4"/>
    </row>
    <row r="12" spans="2:11" x14ac:dyDescent="0.3">
      <c r="B12" s="5"/>
      <c r="K12" s="4"/>
    </row>
    <row r="13" spans="2:11" x14ac:dyDescent="0.3">
      <c r="B13" s="5" t="s">
        <v>108</v>
      </c>
      <c r="K13" s="4"/>
    </row>
    <row r="14" spans="2:11" x14ac:dyDescent="0.3">
      <c r="B14" s="5" t="s">
        <v>107</v>
      </c>
      <c r="K14" s="4"/>
    </row>
    <row r="15" spans="2:11" x14ac:dyDescent="0.3">
      <c r="B15" s="5" t="s">
        <v>106</v>
      </c>
      <c r="K15" s="4"/>
    </row>
    <row r="16" spans="2:11" x14ac:dyDescent="0.3">
      <c r="B16" s="5" t="s">
        <v>105</v>
      </c>
      <c r="K16" s="4"/>
    </row>
    <row r="17" spans="2:11" x14ac:dyDescent="0.3">
      <c r="B17" s="5" t="s">
        <v>92</v>
      </c>
      <c r="K17" s="4"/>
    </row>
    <row r="18" spans="2:11" x14ac:dyDescent="0.3">
      <c r="B18" s="5" t="s">
        <v>104</v>
      </c>
      <c r="K18" s="4"/>
    </row>
    <row r="19" spans="2:11" x14ac:dyDescent="0.3">
      <c r="B19" s="5"/>
      <c r="K19" s="4"/>
    </row>
    <row r="20" spans="2:11" x14ac:dyDescent="0.3">
      <c r="B20" s="5" t="s">
        <v>103</v>
      </c>
      <c r="K20" s="4"/>
    </row>
    <row r="21" spans="2:11" x14ac:dyDescent="0.3">
      <c r="B21" s="5" t="s">
        <v>102</v>
      </c>
      <c r="K21" s="4"/>
    </row>
    <row r="22" spans="2:11" x14ac:dyDescent="0.3">
      <c r="B22" s="5" t="s">
        <v>101</v>
      </c>
      <c r="K22" s="4"/>
    </row>
    <row r="23" spans="2:11" x14ac:dyDescent="0.3">
      <c r="B23" s="5" t="s">
        <v>100</v>
      </c>
      <c r="K23" s="4"/>
    </row>
    <row r="24" spans="2:11" x14ac:dyDescent="0.3">
      <c r="B24" s="5" t="s">
        <v>92</v>
      </c>
      <c r="K24" s="4"/>
    </row>
    <row r="25" spans="2:11" x14ac:dyDescent="0.3">
      <c r="B25" s="5" t="s">
        <v>99</v>
      </c>
      <c r="K25" s="4"/>
    </row>
    <row r="26" spans="2:11" x14ac:dyDescent="0.3">
      <c r="B26" s="5" t="s">
        <v>98</v>
      </c>
      <c r="K26" s="4"/>
    </row>
    <row r="27" spans="2:11" x14ac:dyDescent="0.3">
      <c r="B27" s="5"/>
      <c r="K27" s="4"/>
    </row>
    <row r="28" spans="2:11" x14ac:dyDescent="0.3">
      <c r="B28" s="52" t="s">
        <v>97</v>
      </c>
      <c r="C28" s="53"/>
      <c r="D28" s="53"/>
      <c r="E28" s="53"/>
      <c r="F28" s="53"/>
      <c r="G28" s="53"/>
      <c r="H28" s="53"/>
      <c r="I28" s="53"/>
      <c r="J28" s="53"/>
      <c r="K28" s="4"/>
    </row>
    <row r="29" spans="2:11" x14ac:dyDescent="0.3">
      <c r="B29" s="52"/>
      <c r="C29" s="53"/>
      <c r="D29" s="53"/>
      <c r="E29" s="53"/>
      <c r="F29" s="53"/>
      <c r="G29" s="53"/>
      <c r="H29" s="53"/>
      <c r="I29" s="53"/>
      <c r="J29" s="53"/>
      <c r="K29" s="4"/>
    </row>
    <row r="30" spans="2:11" x14ac:dyDescent="0.3">
      <c r="B30" s="5" t="s">
        <v>96</v>
      </c>
      <c r="K30" s="4"/>
    </row>
    <row r="31" spans="2:11" x14ac:dyDescent="0.3">
      <c r="B31" s="5" t="s">
        <v>95</v>
      </c>
      <c r="K31" s="4"/>
    </row>
    <row r="32" spans="2:11" x14ac:dyDescent="0.3">
      <c r="B32" s="5" t="s">
        <v>94</v>
      </c>
      <c r="K32" s="4"/>
    </row>
    <row r="33" spans="2:11" x14ac:dyDescent="0.3">
      <c r="B33" s="5" t="s">
        <v>93</v>
      </c>
      <c r="K33" s="4"/>
    </row>
    <row r="34" spans="2:11" x14ac:dyDescent="0.3">
      <c r="B34" s="5" t="s">
        <v>92</v>
      </c>
      <c r="K34" s="4"/>
    </row>
    <row r="35" spans="2:11" x14ac:dyDescent="0.3">
      <c r="B35" s="5" t="s">
        <v>91</v>
      </c>
      <c r="K35" s="4"/>
    </row>
    <row r="36" spans="2:11" ht="15" thickBot="1" x14ac:dyDescent="0.35">
      <c r="B36" s="3"/>
      <c r="C36" s="2"/>
      <c r="D36" s="2"/>
      <c r="E36" s="2"/>
      <c r="F36" s="2"/>
      <c r="G36" s="2"/>
      <c r="H36" s="2"/>
      <c r="I36" s="2"/>
      <c r="J36" s="2"/>
      <c r="K36" s="1"/>
    </row>
  </sheetData>
  <mergeCells count="2">
    <mergeCell ref="B2:K2"/>
    <mergeCell ref="B28:J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6CA6-47E2-4041-A1CE-EC465E0C34D1}">
  <dimension ref="A1:T46"/>
  <sheetViews>
    <sheetView showGridLines="0" zoomScale="80" zoomScaleNormal="80" workbookViewId="0">
      <selection activeCell="V20" sqref="V20"/>
    </sheetView>
  </sheetViews>
  <sheetFormatPr defaultRowHeight="14.4" x14ac:dyDescent="0.3"/>
  <cols>
    <col min="1" max="1" width="3.77734375" customWidth="1"/>
    <col min="2" max="2" width="13.5546875" bestFit="1" customWidth="1"/>
    <col min="3" max="3" width="11" bestFit="1" customWidth="1"/>
    <col min="4" max="4" width="2.88671875" customWidth="1"/>
    <col min="5" max="5" width="2.77734375" customWidth="1"/>
    <col min="6" max="6" width="10.5546875" bestFit="1" customWidth="1"/>
    <col min="7" max="7" width="11" bestFit="1" customWidth="1"/>
    <col min="8" max="8" width="14.5546875" bestFit="1" customWidth="1"/>
    <col min="9" max="9" width="17.21875" bestFit="1" customWidth="1"/>
    <col min="13" max="13" width="2.77734375" customWidth="1"/>
    <col min="14" max="14" width="10.5546875" bestFit="1" customWidth="1"/>
    <col min="15" max="15" width="10" bestFit="1" customWidth="1"/>
    <col min="16" max="16" width="14.5546875" bestFit="1" customWidth="1"/>
    <col min="17" max="17" width="12.44140625" bestFit="1" customWidth="1"/>
    <col min="18" max="18" width="11" bestFit="1" customWidth="1"/>
    <col min="19" max="19" width="14.5546875" bestFit="1" customWidth="1"/>
    <col min="20" max="20" width="8.5546875" customWidth="1"/>
  </cols>
  <sheetData>
    <row r="1" spans="1:20" ht="15" thickBot="1" x14ac:dyDescent="0.35"/>
    <row r="2" spans="1:20" ht="21.6" thickBot="1" x14ac:dyDescent="0.45">
      <c r="A2" s="12"/>
      <c r="B2" s="49" t="s">
        <v>7</v>
      </c>
      <c r="C2" s="49"/>
      <c r="D2" s="49"/>
      <c r="E2" s="49"/>
      <c r="F2" s="49"/>
      <c r="G2" s="49"/>
      <c r="H2" s="49"/>
      <c r="I2" s="49"/>
      <c r="J2" s="49"/>
      <c r="K2" s="49"/>
      <c r="L2" s="50"/>
      <c r="M2" s="10"/>
      <c r="N2" s="51" t="s">
        <v>9</v>
      </c>
      <c r="O2" s="49"/>
      <c r="P2" s="49"/>
      <c r="Q2" s="49"/>
      <c r="R2" s="49"/>
      <c r="S2" s="49"/>
      <c r="T2" s="50"/>
    </row>
    <row r="3" spans="1:20" x14ac:dyDescent="0.3">
      <c r="A3" s="12"/>
      <c r="L3" s="4"/>
      <c r="N3" s="9"/>
      <c r="O3" s="8"/>
      <c r="P3" s="8"/>
      <c r="Q3" s="8"/>
      <c r="R3" s="8"/>
      <c r="S3" s="8"/>
      <c r="T3" s="7"/>
    </row>
    <row r="4" spans="1:20" x14ac:dyDescent="0.3">
      <c r="A4" s="12"/>
      <c r="B4" s="47" t="s">
        <v>4</v>
      </c>
      <c r="C4" s="37" t="s">
        <v>3</v>
      </c>
      <c r="L4" s="4"/>
      <c r="N4" s="47" t="s">
        <v>4</v>
      </c>
      <c r="O4" s="37" t="s">
        <v>3</v>
      </c>
      <c r="P4" s="37" t="s">
        <v>6</v>
      </c>
      <c r="T4" s="4"/>
    </row>
    <row r="5" spans="1:20" x14ac:dyDescent="0.3">
      <c r="A5" s="12"/>
      <c r="B5" s="46">
        <v>2013</v>
      </c>
      <c r="C5" s="43">
        <v>2302876084</v>
      </c>
      <c r="L5" s="4"/>
      <c r="N5" s="5">
        <v>262</v>
      </c>
      <c r="O5">
        <v>19516842</v>
      </c>
      <c r="P5">
        <v>3204694</v>
      </c>
      <c r="T5" s="4"/>
    </row>
    <row r="6" spans="1:20" x14ac:dyDescent="0.3">
      <c r="A6" s="12"/>
      <c r="B6" s="11">
        <v>1</v>
      </c>
      <c r="C6">
        <v>180132207</v>
      </c>
      <c r="L6" s="4"/>
      <c r="N6" s="5">
        <v>817</v>
      </c>
      <c r="O6">
        <v>17057867</v>
      </c>
      <c r="P6">
        <v>2454370</v>
      </c>
      <c r="T6" s="4"/>
    </row>
    <row r="7" spans="1:20" x14ac:dyDescent="0.3">
      <c r="A7" s="12"/>
      <c r="B7" s="11">
        <v>2</v>
      </c>
      <c r="C7">
        <v>171534275</v>
      </c>
      <c r="L7" s="4"/>
      <c r="N7" s="5">
        <v>562</v>
      </c>
      <c r="O7">
        <v>16927322</v>
      </c>
      <c r="P7">
        <v>2924960</v>
      </c>
      <c r="T7" s="4"/>
    </row>
    <row r="8" spans="1:20" x14ac:dyDescent="0.3">
      <c r="A8" s="12"/>
      <c r="B8" s="11">
        <v>3</v>
      </c>
      <c r="C8">
        <v>201180369</v>
      </c>
      <c r="L8" s="4"/>
      <c r="N8" s="5">
        <v>1114</v>
      </c>
      <c r="O8">
        <v>16202585</v>
      </c>
      <c r="P8">
        <v>2509542</v>
      </c>
      <c r="T8" s="4"/>
    </row>
    <row r="9" spans="1:20" x14ac:dyDescent="0.3">
      <c r="A9" s="12"/>
      <c r="B9" s="11">
        <v>4</v>
      </c>
      <c r="C9">
        <v>183431432</v>
      </c>
      <c r="L9" s="4"/>
      <c r="N9" s="5">
        <v>251</v>
      </c>
      <c r="O9">
        <v>14896870</v>
      </c>
      <c r="P9">
        <v>1908934</v>
      </c>
      <c r="T9" s="4"/>
    </row>
    <row r="10" spans="1:20" x14ac:dyDescent="0.3">
      <c r="A10" s="12"/>
      <c r="B10" s="11">
        <v>5</v>
      </c>
      <c r="C10">
        <v>185411063</v>
      </c>
      <c r="L10" s="4"/>
      <c r="N10" s="5">
        <v>513</v>
      </c>
      <c r="O10">
        <v>14252406</v>
      </c>
      <c r="P10">
        <v>1643527</v>
      </c>
      <c r="T10" s="4"/>
    </row>
    <row r="11" spans="1:20" x14ac:dyDescent="0.3">
      <c r="A11" s="12"/>
      <c r="B11" s="11">
        <v>6</v>
      </c>
      <c r="C11">
        <v>180702351</v>
      </c>
      <c r="L11" s="4"/>
      <c r="N11" s="5">
        <v>788</v>
      </c>
      <c r="O11">
        <v>14082141</v>
      </c>
      <c r="P11">
        <v>1346835</v>
      </c>
      <c r="T11" s="4"/>
    </row>
    <row r="12" spans="1:20" x14ac:dyDescent="0.3">
      <c r="A12" s="12"/>
      <c r="B12" s="11">
        <v>7</v>
      </c>
      <c r="C12">
        <v>208843882</v>
      </c>
      <c r="L12" s="4"/>
      <c r="N12" s="5">
        <v>733</v>
      </c>
      <c r="O12">
        <v>14067158</v>
      </c>
      <c r="P12">
        <v>3206058</v>
      </c>
      <c r="T12" s="4"/>
    </row>
    <row r="13" spans="1:20" x14ac:dyDescent="0.3">
      <c r="A13" s="12"/>
      <c r="B13" s="11">
        <v>8</v>
      </c>
      <c r="C13">
        <v>198042727</v>
      </c>
      <c r="L13" s="4"/>
      <c r="N13" s="5">
        <v>383</v>
      </c>
      <c r="O13">
        <v>13489879</v>
      </c>
      <c r="P13">
        <v>1720249</v>
      </c>
      <c r="T13" s="4"/>
    </row>
    <row r="14" spans="1:20" x14ac:dyDescent="0.3">
      <c r="A14" s="12"/>
      <c r="B14" s="11">
        <v>9</v>
      </c>
      <c r="C14">
        <v>178053963</v>
      </c>
      <c r="L14" s="4"/>
      <c r="N14" s="5">
        <v>756</v>
      </c>
      <c r="O14">
        <v>12911782</v>
      </c>
      <c r="P14">
        <v>1827980</v>
      </c>
      <c r="T14" s="4"/>
    </row>
    <row r="15" spans="1:20" x14ac:dyDescent="0.3">
      <c r="A15" s="12"/>
      <c r="B15" s="11">
        <v>10</v>
      </c>
      <c r="C15">
        <v>187662330</v>
      </c>
      <c r="L15" s="4"/>
      <c r="N15" s="48" t="s">
        <v>0</v>
      </c>
      <c r="O15" s="39">
        <v>153404852</v>
      </c>
      <c r="P15" s="39">
        <v>22747149</v>
      </c>
      <c r="T15" s="4"/>
    </row>
    <row r="16" spans="1:20" x14ac:dyDescent="0.3">
      <c r="A16" s="12"/>
      <c r="B16" s="11">
        <v>11</v>
      </c>
      <c r="C16">
        <v>196170924</v>
      </c>
      <c r="L16" s="4"/>
      <c r="N16" s="5"/>
      <c r="T16" s="4"/>
    </row>
    <row r="17" spans="1:20" x14ac:dyDescent="0.3">
      <c r="A17" s="12"/>
      <c r="B17" s="11">
        <v>12</v>
      </c>
      <c r="C17">
        <v>231710561</v>
      </c>
      <c r="L17" s="4"/>
      <c r="N17" s="5"/>
      <c r="T17" s="4"/>
    </row>
    <row r="18" spans="1:20" x14ac:dyDescent="0.3">
      <c r="A18" s="12"/>
      <c r="B18" s="46">
        <v>2014</v>
      </c>
      <c r="C18" s="43">
        <v>2180804896</v>
      </c>
      <c r="L18" s="4"/>
      <c r="N18" s="5"/>
      <c r="T18" s="4"/>
    </row>
    <row r="19" spans="1:20" x14ac:dyDescent="0.3">
      <c r="A19" s="12"/>
      <c r="B19" s="11">
        <v>1</v>
      </c>
      <c r="C19">
        <v>187752787</v>
      </c>
      <c r="L19" s="4"/>
      <c r="N19" s="5"/>
      <c r="T19" s="4"/>
    </row>
    <row r="20" spans="1:20" ht="15" thickBot="1" x14ac:dyDescent="0.35">
      <c r="A20" s="12"/>
      <c r="B20" s="11">
        <v>2</v>
      </c>
      <c r="C20">
        <v>178924677</v>
      </c>
      <c r="E20" s="2"/>
      <c r="F20" s="2"/>
      <c r="G20" s="2"/>
      <c r="H20" s="2"/>
      <c r="I20" s="2"/>
      <c r="J20" s="2"/>
      <c r="K20" s="2"/>
      <c r="L20" s="1"/>
      <c r="N20" s="5"/>
      <c r="T20" s="4"/>
    </row>
    <row r="21" spans="1:20" ht="15" thickBot="1" x14ac:dyDescent="0.35">
      <c r="A21" s="12"/>
      <c r="B21" s="11">
        <v>3</v>
      </c>
      <c r="C21">
        <v>193019854</v>
      </c>
      <c r="D21" s="4"/>
      <c r="N21" s="5"/>
      <c r="T21" s="4"/>
    </row>
    <row r="22" spans="1:20" ht="21.6" thickBot="1" x14ac:dyDescent="0.45">
      <c r="A22" s="12"/>
      <c r="B22" s="11">
        <v>4</v>
      </c>
      <c r="C22">
        <v>194544977</v>
      </c>
      <c r="D22" s="4"/>
      <c r="F22" s="51" t="s">
        <v>8</v>
      </c>
      <c r="G22" s="49"/>
      <c r="H22" s="49"/>
      <c r="I22" s="49"/>
      <c r="J22" s="49"/>
      <c r="K22" s="49"/>
      <c r="L22" s="50"/>
      <c r="N22" s="5"/>
      <c r="T22" s="4"/>
    </row>
    <row r="23" spans="1:20" x14ac:dyDescent="0.3">
      <c r="A23" s="12"/>
      <c r="B23" s="11">
        <v>5</v>
      </c>
      <c r="C23">
        <v>194693257</v>
      </c>
      <c r="D23" s="4"/>
      <c r="F23" s="9"/>
      <c r="G23" s="8"/>
      <c r="H23" s="8"/>
      <c r="I23" s="8"/>
      <c r="J23" s="8"/>
      <c r="K23" s="8"/>
      <c r="L23" s="7"/>
      <c r="N23" s="5"/>
      <c r="T23" s="4"/>
    </row>
    <row r="24" spans="1:20" x14ac:dyDescent="0.3">
      <c r="A24" s="12"/>
      <c r="B24" s="11">
        <v>6</v>
      </c>
      <c r="C24">
        <v>190047051</v>
      </c>
      <c r="D24" s="4"/>
      <c r="F24" s="47" t="s">
        <v>4</v>
      </c>
      <c r="G24" s="37" t="s">
        <v>3</v>
      </c>
      <c r="H24" s="37" t="s">
        <v>6</v>
      </c>
      <c r="I24" s="37" t="s">
        <v>5</v>
      </c>
      <c r="L24" s="4"/>
      <c r="N24" s="5"/>
      <c r="T24" s="4"/>
    </row>
    <row r="25" spans="1:20" x14ac:dyDescent="0.3">
      <c r="A25" s="12"/>
      <c r="B25" s="11">
        <v>7</v>
      </c>
      <c r="C25">
        <v>173892707</v>
      </c>
      <c r="D25" s="4"/>
      <c r="F25" s="5" t="s">
        <v>2</v>
      </c>
      <c r="G25">
        <v>1482612096</v>
      </c>
      <c r="H25">
        <v>181613788</v>
      </c>
      <c r="I25">
        <v>6328.1876331166477</v>
      </c>
      <c r="L25" s="4"/>
      <c r="N25" s="5"/>
      <c r="T25" s="4"/>
    </row>
    <row r="26" spans="1:20" x14ac:dyDescent="0.3">
      <c r="A26" s="12"/>
      <c r="B26" s="11">
        <v>8</v>
      </c>
      <c r="C26">
        <v>163748475</v>
      </c>
      <c r="D26" s="4"/>
      <c r="F26" s="5" t="s">
        <v>1</v>
      </c>
      <c r="G26">
        <v>4390568527</v>
      </c>
      <c r="H26">
        <v>462427959</v>
      </c>
      <c r="I26">
        <v>7197.0516022430911</v>
      </c>
      <c r="L26" s="4"/>
      <c r="N26" s="5"/>
      <c r="T26" s="4"/>
    </row>
    <row r="27" spans="1:20" x14ac:dyDescent="0.3">
      <c r="A27" s="12"/>
      <c r="B27" s="11">
        <v>9</v>
      </c>
      <c r="C27">
        <v>164516168</v>
      </c>
      <c r="D27" s="4"/>
      <c r="F27" s="48" t="s">
        <v>0</v>
      </c>
      <c r="G27" s="39">
        <v>5873180623</v>
      </c>
      <c r="H27" s="39">
        <v>644041747</v>
      </c>
      <c r="I27" s="39">
        <v>6955.9591336644808</v>
      </c>
      <c r="L27" s="4"/>
      <c r="N27" s="5"/>
      <c r="T27" s="4"/>
    </row>
    <row r="28" spans="1:20" x14ac:dyDescent="0.3">
      <c r="A28" s="12"/>
      <c r="B28" s="11">
        <v>10</v>
      </c>
      <c r="C28">
        <v>164216398</v>
      </c>
      <c r="D28" s="4"/>
      <c r="F28" s="5"/>
      <c r="L28" s="4"/>
      <c r="N28" s="5"/>
      <c r="T28" s="4"/>
    </row>
    <row r="29" spans="1:20" x14ac:dyDescent="0.3">
      <c r="A29" s="12"/>
      <c r="B29" s="11">
        <v>11</v>
      </c>
      <c r="C29">
        <v>173327953</v>
      </c>
      <c r="D29" s="4"/>
      <c r="F29" s="5"/>
      <c r="L29" s="4"/>
      <c r="N29" s="5"/>
      <c r="T29" s="4"/>
    </row>
    <row r="30" spans="1:20" x14ac:dyDescent="0.3">
      <c r="A30" s="12"/>
      <c r="B30" s="11">
        <v>12</v>
      </c>
      <c r="C30">
        <v>202120592</v>
      </c>
      <c r="D30" s="4"/>
      <c r="F30" s="5"/>
      <c r="L30" s="4"/>
      <c r="N30" s="5"/>
      <c r="T30" s="4"/>
    </row>
    <row r="31" spans="1:20" x14ac:dyDescent="0.3">
      <c r="A31" s="12"/>
      <c r="B31" s="46">
        <v>2015</v>
      </c>
      <c r="C31" s="43">
        <v>1389499643</v>
      </c>
      <c r="D31" s="4"/>
      <c r="F31" s="5"/>
      <c r="L31" s="4"/>
      <c r="N31" s="5"/>
      <c r="T31" s="4"/>
    </row>
    <row r="32" spans="1:20" x14ac:dyDescent="0.3">
      <c r="A32" s="12"/>
      <c r="B32" s="35">
        <v>1</v>
      </c>
      <c r="C32">
        <v>198843730</v>
      </c>
      <c r="D32" s="4"/>
      <c r="F32" s="5"/>
      <c r="L32" s="4"/>
      <c r="N32" s="5"/>
      <c r="T32" s="4"/>
    </row>
    <row r="33" spans="1:20" x14ac:dyDescent="0.3">
      <c r="A33" s="12"/>
      <c r="B33" s="35">
        <v>2</v>
      </c>
      <c r="C33">
        <v>178275458</v>
      </c>
      <c r="D33" s="4"/>
      <c r="F33" s="5"/>
      <c r="L33" s="4"/>
      <c r="N33" s="5"/>
      <c r="T33" s="4"/>
    </row>
    <row r="34" spans="1:20" x14ac:dyDescent="0.3">
      <c r="A34" s="12"/>
      <c r="B34" s="35">
        <v>3</v>
      </c>
      <c r="C34">
        <v>205631683</v>
      </c>
      <c r="D34" s="4"/>
      <c r="F34" s="5"/>
      <c r="L34" s="4"/>
      <c r="N34" s="5"/>
      <c r="T34" s="4"/>
    </row>
    <row r="35" spans="1:20" ht="15" thickBot="1" x14ac:dyDescent="0.35">
      <c r="A35" s="12"/>
      <c r="B35" s="35">
        <v>4</v>
      </c>
      <c r="C35">
        <v>197918886</v>
      </c>
      <c r="D35" s="4"/>
      <c r="F35" s="5"/>
      <c r="L35" s="4"/>
      <c r="N35" s="3"/>
      <c r="O35" s="2"/>
      <c r="P35" s="2"/>
      <c r="Q35" s="2"/>
      <c r="R35" s="2"/>
      <c r="S35" s="2"/>
      <c r="T35" s="1"/>
    </row>
    <row r="36" spans="1:20" x14ac:dyDescent="0.3">
      <c r="A36" s="12"/>
      <c r="B36" s="35">
        <v>5</v>
      </c>
      <c r="C36">
        <v>189143897</v>
      </c>
      <c r="D36" s="4"/>
      <c r="F36" s="5"/>
      <c r="L36" s="4"/>
    </row>
    <row r="37" spans="1:20" x14ac:dyDescent="0.3">
      <c r="A37" s="12"/>
      <c r="B37" s="35">
        <v>6</v>
      </c>
      <c r="C37">
        <v>207363373</v>
      </c>
      <c r="D37" s="4"/>
      <c r="F37" s="5"/>
      <c r="L37" s="4"/>
    </row>
    <row r="38" spans="1:20" x14ac:dyDescent="0.3">
      <c r="A38" s="12"/>
      <c r="B38" s="35">
        <v>7</v>
      </c>
      <c r="C38">
        <v>212322616</v>
      </c>
      <c r="D38" s="4"/>
      <c r="F38" s="5"/>
      <c r="L38" s="4"/>
    </row>
    <row r="39" spans="1:20" x14ac:dyDescent="0.3">
      <c r="A39" s="12"/>
      <c r="B39" s="48" t="s">
        <v>0</v>
      </c>
      <c r="C39" s="39">
        <v>5873180623</v>
      </c>
      <c r="D39" s="4"/>
      <c r="F39" s="5"/>
      <c r="L39" s="4"/>
    </row>
    <row r="40" spans="1:20" ht="15" thickBot="1" x14ac:dyDescent="0.35">
      <c r="A40" s="12"/>
      <c r="B40" s="2"/>
      <c r="C40" s="2"/>
      <c r="D40" s="1"/>
      <c r="F40" s="5"/>
      <c r="L40" s="4"/>
    </row>
    <row r="41" spans="1:20" x14ac:dyDescent="0.3">
      <c r="F41" s="5"/>
      <c r="L41" s="4"/>
    </row>
    <row r="42" spans="1:20" x14ac:dyDescent="0.3">
      <c r="F42" s="5"/>
      <c r="L42" s="4"/>
    </row>
    <row r="43" spans="1:20" x14ac:dyDescent="0.3">
      <c r="F43" s="5"/>
      <c r="L43" s="4"/>
    </row>
    <row r="44" spans="1:20" x14ac:dyDescent="0.3">
      <c r="F44" s="5"/>
      <c r="L44" s="4"/>
    </row>
    <row r="45" spans="1:20" x14ac:dyDescent="0.3">
      <c r="F45" s="5"/>
      <c r="L45" s="4"/>
    </row>
    <row r="46" spans="1:20" ht="15" thickBot="1" x14ac:dyDescent="0.35">
      <c r="F46" s="3"/>
      <c r="G46" s="2"/>
      <c r="H46" s="2"/>
      <c r="I46" s="2"/>
      <c r="J46" s="2"/>
      <c r="K46" s="2"/>
      <c r="L46" s="1"/>
    </row>
  </sheetData>
  <mergeCells count="3">
    <mergeCell ref="B2:L2"/>
    <mergeCell ref="N2:T2"/>
    <mergeCell ref="F22:L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28A2-95C8-4826-B5FE-60F2FBF80929}">
  <dimension ref="B1:H35"/>
  <sheetViews>
    <sheetView showGridLines="0" zoomScaleNormal="100" workbookViewId="0">
      <selection activeCell="E25" sqref="E25"/>
    </sheetView>
  </sheetViews>
  <sheetFormatPr defaultRowHeight="14.4" x14ac:dyDescent="0.3"/>
  <cols>
    <col min="1" max="1" width="2.88671875" customWidth="1"/>
  </cols>
  <sheetData>
    <row r="1" spans="2:8" ht="15.6" customHeight="1" thickBot="1" x14ac:dyDescent="0.35"/>
    <row r="2" spans="2:8" ht="21" x14ac:dyDescent="0.4">
      <c r="B2" s="54" t="s">
        <v>54</v>
      </c>
      <c r="C2" s="55"/>
      <c r="D2" s="55"/>
      <c r="E2" s="55"/>
      <c r="F2" s="55"/>
      <c r="G2" s="55"/>
      <c r="H2" s="56"/>
    </row>
    <row r="3" spans="2:8" ht="18.600000000000001" thickBot="1" x14ac:dyDescent="0.4">
      <c r="B3" s="57" t="s">
        <v>53</v>
      </c>
      <c r="C3" s="58"/>
      <c r="D3" s="58"/>
      <c r="E3" s="58"/>
      <c r="F3" s="58"/>
      <c r="G3" s="58"/>
      <c r="H3" s="59"/>
    </row>
    <row r="4" spans="2:8" x14ac:dyDescent="0.3">
      <c r="B4" s="9"/>
      <c r="C4" s="8"/>
      <c r="D4" s="8"/>
      <c r="E4" s="8"/>
      <c r="F4" s="8"/>
      <c r="G4" s="8"/>
      <c r="H4" s="7"/>
    </row>
    <row r="5" spans="2:8" x14ac:dyDescent="0.3">
      <c r="B5" s="5" t="s">
        <v>52</v>
      </c>
      <c r="H5" s="4"/>
    </row>
    <row r="6" spans="2:8" x14ac:dyDescent="0.3">
      <c r="B6" s="28" t="s">
        <v>51</v>
      </c>
      <c r="H6" s="4"/>
    </row>
    <row r="7" spans="2:8" x14ac:dyDescent="0.3">
      <c r="B7" s="5"/>
      <c r="H7" s="4"/>
    </row>
    <row r="8" spans="2:8" x14ac:dyDescent="0.3">
      <c r="B8" s="5" t="s">
        <v>50</v>
      </c>
      <c r="H8" s="4"/>
    </row>
    <row r="9" spans="2:8" x14ac:dyDescent="0.3">
      <c r="B9" s="5" t="s">
        <v>49</v>
      </c>
      <c r="H9" s="4"/>
    </row>
    <row r="10" spans="2:8" x14ac:dyDescent="0.3">
      <c r="B10" s="28" t="s">
        <v>48</v>
      </c>
      <c r="H10" s="4"/>
    </row>
    <row r="11" spans="2:8" x14ac:dyDescent="0.3">
      <c r="B11" s="5"/>
      <c r="H11" s="4"/>
    </row>
    <row r="12" spans="2:8" x14ac:dyDescent="0.3">
      <c r="B12" s="5" t="s">
        <v>47</v>
      </c>
      <c r="H12" s="4"/>
    </row>
    <row r="13" spans="2:8" x14ac:dyDescent="0.3">
      <c r="B13" s="28" t="s">
        <v>46</v>
      </c>
      <c r="H13" s="4"/>
    </row>
    <row r="14" spans="2:8" x14ac:dyDescent="0.3">
      <c r="B14" s="28" t="s">
        <v>45</v>
      </c>
      <c r="H14" s="4"/>
    </row>
    <row r="15" spans="2:8" x14ac:dyDescent="0.3">
      <c r="B15" s="28" t="s">
        <v>44</v>
      </c>
      <c r="H15" s="4"/>
    </row>
    <row r="16" spans="2:8" x14ac:dyDescent="0.3">
      <c r="B16" s="28" t="s">
        <v>43</v>
      </c>
      <c r="H16" s="4"/>
    </row>
    <row r="17" spans="2:8" x14ac:dyDescent="0.3">
      <c r="B17" s="28" t="s">
        <v>42</v>
      </c>
      <c r="H17" s="4"/>
    </row>
    <row r="18" spans="2:8" x14ac:dyDescent="0.3">
      <c r="B18" s="28" t="s">
        <v>41</v>
      </c>
      <c r="H18" s="4"/>
    </row>
    <row r="19" spans="2:8" x14ac:dyDescent="0.3">
      <c r="B19" s="28" t="s">
        <v>40</v>
      </c>
      <c r="H19" s="4"/>
    </row>
    <row r="20" spans="2:8" x14ac:dyDescent="0.3">
      <c r="B20" s="28" t="s">
        <v>39</v>
      </c>
      <c r="H20" s="4"/>
    </row>
    <row r="21" spans="2:8" x14ac:dyDescent="0.3">
      <c r="B21" s="28" t="s">
        <v>38</v>
      </c>
      <c r="H21" s="4"/>
    </row>
    <row r="22" spans="2:8" x14ac:dyDescent="0.3">
      <c r="B22" s="28"/>
      <c r="H22" s="4"/>
    </row>
    <row r="23" spans="2:8" x14ac:dyDescent="0.3">
      <c r="B23" s="5" t="s">
        <v>37</v>
      </c>
      <c r="H23" s="4"/>
    </row>
    <row r="24" spans="2:8" x14ac:dyDescent="0.3">
      <c r="B24" s="28" t="s">
        <v>36</v>
      </c>
      <c r="H24" s="4"/>
    </row>
    <row r="25" spans="2:8" x14ac:dyDescent="0.3">
      <c r="B25" s="28" t="s">
        <v>35</v>
      </c>
      <c r="H25" s="4"/>
    </row>
    <row r="26" spans="2:8" x14ac:dyDescent="0.3">
      <c r="B26" s="28" t="s">
        <v>34</v>
      </c>
      <c r="H26" s="4"/>
    </row>
    <row r="27" spans="2:8" x14ac:dyDescent="0.3">
      <c r="B27" s="28" t="s">
        <v>33</v>
      </c>
      <c r="H27" s="4"/>
    </row>
    <row r="28" spans="2:8" x14ac:dyDescent="0.3">
      <c r="B28" s="5"/>
      <c r="H28" s="4"/>
    </row>
    <row r="29" spans="2:8" x14ac:dyDescent="0.3">
      <c r="B29" s="5" t="s">
        <v>32</v>
      </c>
      <c r="H29" s="4"/>
    </row>
    <row r="30" spans="2:8" x14ac:dyDescent="0.3">
      <c r="B30" s="28" t="s">
        <v>31</v>
      </c>
      <c r="H30" s="4"/>
    </row>
    <row r="31" spans="2:8" x14ac:dyDescent="0.3">
      <c r="B31" s="28" t="s">
        <v>30</v>
      </c>
      <c r="H31" s="4"/>
    </row>
    <row r="32" spans="2:8" x14ac:dyDescent="0.3">
      <c r="B32" s="28" t="s">
        <v>29</v>
      </c>
      <c r="H32" s="4"/>
    </row>
    <row r="33" spans="2:8" x14ac:dyDescent="0.3">
      <c r="B33" s="28" t="s">
        <v>28</v>
      </c>
      <c r="H33" s="4"/>
    </row>
    <row r="34" spans="2:8" x14ac:dyDescent="0.3">
      <c r="B34" s="5"/>
      <c r="H34" s="4"/>
    </row>
    <row r="35" spans="2:8" ht="15" thickBot="1" x14ac:dyDescent="0.35">
      <c r="B35" s="3"/>
      <c r="C35" s="2"/>
      <c r="D35" s="2"/>
      <c r="E35" s="2"/>
      <c r="F35" s="2"/>
      <c r="G35" s="2"/>
      <c r="H35" s="1"/>
    </row>
  </sheetData>
  <mergeCells count="2">
    <mergeCell ref="B2:H2"/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06B0-A51F-4509-B91B-211A6B05B6AF}">
  <dimension ref="B2:K47"/>
  <sheetViews>
    <sheetView showGridLines="0" topLeftCell="A21" zoomScale="90" zoomScaleNormal="90" workbookViewId="0">
      <selection activeCell="K35" sqref="K35"/>
    </sheetView>
  </sheetViews>
  <sheetFormatPr defaultRowHeight="14.4" x14ac:dyDescent="0.3"/>
  <cols>
    <col min="1" max="1" width="2.88671875" customWidth="1"/>
    <col min="2" max="2" width="18.109375" bestFit="1" customWidth="1"/>
    <col min="3" max="3" width="12.6640625" bestFit="1" customWidth="1"/>
    <col min="4" max="4" width="13.21875" bestFit="1" customWidth="1"/>
    <col min="5" max="5" width="12.6640625" bestFit="1" customWidth="1"/>
    <col min="6" max="6" width="12" bestFit="1" customWidth="1"/>
    <col min="7" max="7" width="12.77734375" bestFit="1" customWidth="1"/>
    <col min="8" max="10" width="12.6640625" bestFit="1" customWidth="1"/>
  </cols>
  <sheetData>
    <row r="2" spans="2:8" x14ac:dyDescent="0.3">
      <c r="B2" t="s">
        <v>90</v>
      </c>
    </row>
    <row r="3" spans="2:8" ht="15" thickBot="1" x14ac:dyDescent="0.35"/>
    <row r="4" spans="2:8" x14ac:dyDescent="0.3">
      <c r="B4" s="33" t="s">
        <v>89</v>
      </c>
      <c r="C4" s="33"/>
      <c r="D4" s="30" t="s">
        <v>88</v>
      </c>
    </row>
    <row r="5" spans="2:8" x14ac:dyDescent="0.3">
      <c r="B5" t="s">
        <v>87</v>
      </c>
      <c r="C5">
        <v>0.90738340059567113</v>
      </c>
    </row>
    <row r="6" spans="2:8" x14ac:dyDescent="0.3">
      <c r="B6" t="s">
        <v>86</v>
      </c>
      <c r="C6" s="31">
        <v>0.82334463567656424</v>
      </c>
      <c r="D6" s="30" t="s">
        <v>85</v>
      </c>
    </row>
    <row r="7" spans="2:8" x14ac:dyDescent="0.3">
      <c r="B7" t="s">
        <v>84</v>
      </c>
      <c r="C7">
        <v>0.82334212495572578</v>
      </c>
    </row>
    <row r="8" spans="2:8" x14ac:dyDescent="0.3">
      <c r="B8" t="s">
        <v>71</v>
      </c>
      <c r="C8">
        <v>1304.5550215736969</v>
      </c>
    </row>
    <row r="9" spans="2:8" ht="15" thickBot="1" x14ac:dyDescent="0.35">
      <c r="B9" s="2" t="s">
        <v>83</v>
      </c>
      <c r="C9" s="2">
        <v>844338</v>
      </c>
    </row>
    <row r="11" spans="2:8" ht="15" thickBot="1" x14ac:dyDescent="0.35">
      <c r="B11" t="s">
        <v>82</v>
      </c>
    </row>
    <row r="12" spans="2:8" x14ac:dyDescent="0.3">
      <c r="B12" s="32"/>
      <c r="C12" s="32" t="s">
        <v>81</v>
      </c>
      <c r="D12" s="32" t="s">
        <v>80</v>
      </c>
      <c r="E12" s="32" t="s">
        <v>79</v>
      </c>
      <c r="F12" s="32" t="s">
        <v>78</v>
      </c>
      <c r="G12" s="32" t="s">
        <v>77</v>
      </c>
    </row>
    <row r="13" spans="2:8" x14ac:dyDescent="0.3">
      <c r="B13" t="s">
        <v>76</v>
      </c>
      <c r="C13">
        <v>12</v>
      </c>
      <c r="D13">
        <v>6697138507012.2998</v>
      </c>
      <c r="E13">
        <v>558094875584.35828</v>
      </c>
      <c r="F13">
        <v>327931.5737075673</v>
      </c>
      <c r="G13" s="31">
        <v>0</v>
      </c>
      <c r="H13" s="30" t="s">
        <v>75</v>
      </c>
    </row>
    <row r="14" spans="2:8" x14ac:dyDescent="0.3">
      <c r="B14" t="s">
        <v>74</v>
      </c>
      <c r="C14">
        <v>844325</v>
      </c>
      <c r="D14">
        <v>1436926156576.6995</v>
      </c>
      <c r="E14">
        <v>1701863.8043131488</v>
      </c>
    </row>
    <row r="15" spans="2:8" ht="15" thickBot="1" x14ac:dyDescent="0.35">
      <c r="B15" s="2" t="s">
        <v>73</v>
      </c>
      <c r="C15" s="2">
        <v>844337</v>
      </c>
      <c r="D15" s="2">
        <v>8134064663588.999</v>
      </c>
      <c r="E15" s="2"/>
      <c r="F15" s="2"/>
      <c r="G15" s="2"/>
    </row>
    <row r="16" spans="2:8" ht="15" thickBot="1" x14ac:dyDescent="0.35"/>
    <row r="17" spans="2:11" x14ac:dyDescent="0.3">
      <c r="B17" s="32"/>
      <c r="C17" s="32" t="s">
        <v>72</v>
      </c>
      <c r="D17" s="32" t="s">
        <v>71</v>
      </c>
      <c r="E17" s="32" t="s">
        <v>70</v>
      </c>
      <c r="F17" s="32" t="s">
        <v>69</v>
      </c>
      <c r="G17" s="32" t="s">
        <v>68</v>
      </c>
      <c r="H17" s="32" t="s">
        <v>67</v>
      </c>
      <c r="I17" s="32" t="s">
        <v>66</v>
      </c>
      <c r="J17" s="32" t="s">
        <v>65</v>
      </c>
    </row>
    <row r="18" spans="2:11" x14ac:dyDescent="0.3">
      <c r="B18" t="s">
        <v>64</v>
      </c>
      <c r="C18">
        <v>151.49722504096957</v>
      </c>
      <c r="D18">
        <v>6.4248733450239754</v>
      </c>
      <c r="E18">
        <v>23.579799461463818</v>
      </c>
      <c r="F18">
        <v>6.8096948202063782E-123</v>
      </c>
      <c r="G18">
        <v>138.90468662776692</v>
      </c>
      <c r="H18">
        <v>164.08976345417221</v>
      </c>
      <c r="I18">
        <v>138.90468662776692</v>
      </c>
      <c r="J18">
        <v>164.08976345417221</v>
      </c>
    </row>
    <row r="19" spans="2:11" x14ac:dyDescent="0.3">
      <c r="B19" t="s">
        <v>46</v>
      </c>
      <c r="C19" s="31">
        <v>7.3763282715557956</v>
      </c>
      <c r="D19">
        <v>4.2992784498263317E-3</v>
      </c>
      <c r="E19">
        <v>1715.7130801457533</v>
      </c>
      <c r="F19">
        <v>0</v>
      </c>
      <c r="G19">
        <v>7.3679018285551061</v>
      </c>
      <c r="H19">
        <v>7.3847547145564851</v>
      </c>
      <c r="I19">
        <v>7.3679018285551061</v>
      </c>
      <c r="J19">
        <v>7.3847547145564851</v>
      </c>
      <c r="K19" s="30" t="s">
        <v>63</v>
      </c>
    </row>
    <row r="20" spans="2:11" x14ac:dyDescent="0.3">
      <c r="B20" t="s">
        <v>45</v>
      </c>
      <c r="C20" s="31">
        <v>1143.8206323693491</v>
      </c>
      <c r="D20">
        <v>3.0431213050414456</v>
      </c>
      <c r="E20">
        <v>375.87086340410309</v>
      </c>
      <c r="F20">
        <v>0</v>
      </c>
      <c r="G20">
        <v>1137.8562156607381</v>
      </c>
      <c r="H20">
        <v>1149.7850490779601</v>
      </c>
      <c r="I20">
        <v>1137.8562156607381</v>
      </c>
      <c r="J20">
        <v>1149.7850490779601</v>
      </c>
      <c r="K20" s="30" t="s">
        <v>62</v>
      </c>
    </row>
    <row r="21" spans="2:11" x14ac:dyDescent="0.3">
      <c r="B21" t="s">
        <v>44</v>
      </c>
      <c r="C21">
        <v>303.27212636762351</v>
      </c>
      <c r="D21">
        <v>2.9614600595073988</v>
      </c>
      <c r="E21">
        <v>102.40628618103632</v>
      </c>
      <c r="F21">
        <v>0</v>
      </c>
      <c r="G21">
        <v>297.46776298863256</v>
      </c>
      <c r="H21">
        <v>309.07648974661447</v>
      </c>
      <c r="I21">
        <v>297.46776298863256</v>
      </c>
      <c r="J21">
        <v>309.07648974661447</v>
      </c>
    </row>
    <row r="22" spans="2:11" x14ac:dyDescent="0.3">
      <c r="B22" t="s">
        <v>43</v>
      </c>
      <c r="C22">
        <v>2.5247915598275123E-2</v>
      </c>
      <c r="D22">
        <v>1.9051624027364387E-4</v>
      </c>
      <c r="E22">
        <v>132.52369226902036</v>
      </c>
      <c r="F22">
        <v>0</v>
      </c>
      <c r="G22">
        <v>2.4874510093582509E-2</v>
      </c>
      <c r="H22">
        <v>2.5621321102967737E-2</v>
      </c>
      <c r="I22">
        <v>2.4874510093582509E-2</v>
      </c>
      <c r="J22">
        <v>2.5621321102967737E-2</v>
      </c>
    </row>
    <row r="23" spans="2:11" x14ac:dyDescent="0.3">
      <c r="B23" t="s">
        <v>40</v>
      </c>
      <c r="C23">
        <v>24.33306636439286</v>
      </c>
      <c r="D23">
        <v>0.43096601263758444</v>
      </c>
      <c r="E23">
        <v>56.461682942166142</v>
      </c>
      <c r="F23">
        <v>0</v>
      </c>
      <c r="G23">
        <v>23.488387290193412</v>
      </c>
      <c r="H23">
        <v>25.177745438592307</v>
      </c>
      <c r="I23">
        <v>23.488387290193412</v>
      </c>
      <c r="J23">
        <v>25.177745438592307</v>
      </c>
    </row>
    <row r="24" spans="2:11" x14ac:dyDescent="0.3">
      <c r="B24" t="s">
        <v>39</v>
      </c>
      <c r="C24">
        <v>-40.603422013393981</v>
      </c>
      <c r="D24">
        <v>0.871367831212703</v>
      </c>
      <c r="E24">
        <v>-46.597338757485744</v>
      </c>
      <c r="F24">
        <v>0</v>
      </c>
      <c r="G24">
        <v>-42.311274028106979</v>
      </c>
      <c r="H24">
        <v>-38.895569998680983</v>
      </c>
      <c r="I24">
        <v>-42.311274028106979</v>
      </c>
      <c r="J24">
        <v>-38.895569998680983</v>
      </c>
    </row>
    <row r="25" spans="2:11" x14ac:dyDescent="0.3">
      <c r="B25" t="s">
        <v>38</v>
      </c>
      <c r="C25">
        <v>31.113674207394713</v>
      </c>
      <c r="D25">
        <v>3.6541369401299</v>
      </c>
      <c r="E25">
        <v>8.514643735899142</v>
      </c>
      <c r="F25">
        <v>1.6737063074153484E-17</v>
      </c>
      <c r="G25">
        <v>23.951687143271997</v>
      </c>
      <c r="H25">
        <v>38.275661271517428</v>
      </c>
      <c r="I25">
        <v>23.951687143271997</v>
      </c>
      <c r="J25">
        <v>38.275661271517428</v>
      </c>
    </row>
    <row r="26" spans="2:11" x14ac:dyDescent="0.3">
      <c r="B26" t="s">
        <v>61</v>
      </c>
      <c r="C26" s="29">
        <v>-3213.4574461979241</v>
      </c>
      <c r="D26">
        <v>16.166661177142842</v>
      </c>
      <c r="E26">
        <v>-198.77063117653853</v>
      </c>
      <c r="F26">
        <v>0</v>
      </c>
      <c r="G26">
        <v>-3245.1435652782443</v>
      </c>
      <c r="H26">
        <v>-3181.771327117604</v>
      </c>
      <c r="I26">
        <v>-3245.1435652782443</v>
      </c>
      <c r="J26">
        <v>-3181.771327117604</v>
      </c>
    </row>
    <row r="27" spans="2:11" x14ac:dyDescent="0.3">
      <c r="B27" t="s">
        <v>60</v>
      </c>
      <c r="C27" s="29">
        <v>-143.36615075844657</v>
      </c>
      <c r="D27">
        <v>4.3614247219893425</v>
      </c>
      <c r="E27">
        <v>-32.871403244821821</v>
      </c>
      <c r="F27">
        <v>7.9631232410727956E-237</v>
      </c>
      <c r="G27">
        <v>-151.9143983889588</v>
      </c>
      <c r="H27">
        <v>-134.81790312793433</v>
      </c>
      <c r="I27">
        <v>-151.9143983889588</v>
      </c>
      <c r="J27">
        <v>-134.81790312793433</v>
      </c>
    </row>
    <row r="28" spans="2:11" x14ac:dyDescent="0.3">
      <c r="B28" t="s">
        <v>59</v>
      </c>
      <c r="C28">
        <v>1136.0990282694113</v>
      </c>
      <c r="D28">
        <v>3.4181788934290083</v>
      </c>
      <c r="E28">
        <v>332.36968095889006</v>
      </c>
      <c r="F28">
        <v>0</v>
      </c>
      <c r="G28">
        <v>1129.3995111416471</v>
      </c>
      <c r="H28">
        <v>1142.7985453971755</v>
      </c>
      <c r="I28">
        <v>1129.3995111416471</v>
      </c>
      <c r="J28">
        <v>1142.7985453971755</v>
      </c>
    </row>
    <row r="29" spans="2:11" x14ac:dyDescent="0.3">
      <c r="B29" t="s">
        <v>58</v>
      </c>
      <c r="C29">
        <v>-4131.3181927829537</v>
      </c>
      <c r="D29">
        <v>20.980857863422965</v>
      </c>
      <c r="E29">
        <v>-196.90892620674478</v>
      </c>
      <c r="F29">
        <v>0</v>
      </c>
      <c r="G29">
        <v>-4172.4399775091415</v>
      </c>
      <c r="H29">
        <v>-4090.1964080567659</v>
      </c>
      <c r="I29">
        <v>-4172.4399775091415</v>
      </c>
      <c r="J29">
        <v>-4090.1964080567659</v>
      </c>
    </row>
    <row r="30" spans="2:11" ht="15" thickBot="1" x14ac:dyDescent="0.35">
      <c r="B30" s="2" t="s">
        <v>57</v>
      </c>
      <c r="C30" s="2">
        <v>308.88277501371539</v>
      </c>
      <c r="D30" s="2">
        <v>2.9891246096874697</v>
      </c>
      <c r="E30" s="2">
        <v>103.33552974427883</v>
      </c>
      <c r="F30" s="2">
        <v>0</v>
      </c>
      <c r="G30" s="2">
        <v>303.02419003499494</v>
      </c>
      <c r="H30" s="2">
        <v>314.74135999243583</v>
      </c>
      <c r="I30" s="2">
        <v>303.02419003499494</v>
      </c>
      <c r="J30" s="2">
        <v>314.74135999243583</v>
      </c>
    </row>
    <row r="31" spans="2:11" ht="15" thickBot="1" x14ac:dyDescent="0.35"/>
    <row r="32" spans="2:11" ht="21.6" thickBot="1" x14ac:dyDescent="0.45">
      <c r="B32" s="51" t="s">
        <v>56</v>
      </c>
      <c r="C32" s="49"/>
      <c r="D32" s="49"/>
      <c r="E32" s="49"/>
      <c r="F32" s="49"/>
      <c r="G32" s="49"/>
      <c r="H32" s="49"/>
      <c r="I32" s="50"/>
    </row>
    <row r="33" spans="2:9" x14ac:dyDescent="0.3">
      <c r="B33" s="60" t="s">
        <v>55</v>
      </c>
      <c r="C33" s="61"/>
      <c r="D33" s="61"/>
      <c r="E33" s="61"/>
      <c r="F33" s="61"/>
      <c r="G33" s="61"/>
      <c r="H33" s="61"/>
      <c r="I33" s="62"/>
    </row>
    <row r="34" spans="2:9" x14ac:dyDescent="0.3">
      <c r="B34" s="52"/>
      <c r="C34" s="53"/>
      <c r="D34" s="53"/>
      <c r="E34" s="53"/>
      <c r="F34" s="53"/>
      <c r="G34" s="53"/>
      <c r="H34" s="53"/>
      <c r="I34" s="63"/>
    </row>
    <row r="35" spans="2:9" x14ac:dyDescent="0.3">
      <c r="B35" s="52"/>
      <c r="C35" s="53"/>
      <c r="D35" s="53"/>
      <c r="E35" s="53"/>
      <c r="F35" s="53"/>
      <c r="G35" s="53"/>
      <c r="H35" s="53"/>
      <c r="I35" s="63"/>
    </row>
    <row r="36" spans="2:9" x14ac:dyDescent="0.3">
      <c r="B36" s="52"/>
      <c r="C36" s="53"/>
      <c r="D36" s="53"/>
      <c r="E36" s="53"/>
      <c r="F36" s="53"/>
      <c r="G36" s="53"/>
      <c r="H36" s="53"/>
      <c r="I36" s="63"/>
    </row>
    <row r="37" spans="2:9" x14ac:dyDescent="0.3">
      <c r="B37" s="52"/>
      <c r="C37" s="53"/>
      <c r="D37" s="53"/>
      <c r="E37" s="53"/>
      <c r="F37" s="53"/>
      <c r="G37" s="53"/>
      <c r="H37" s="53"/>
      <c r="I37" s="63"/>
    </row>
    <row r="38" spans="2:9" x14ac:dyDescent="0.3">
      <c r="B38" s="52"/>
      <c r="C38" s="53"/>
      <c r="D38" s="53"/>
      <c r="E38" s="53"/>
      <c r="F38" s="53"/>
      <c r="G38" s="53"/>
      <c r="H38" s="53"/>
      <c r="I38" s="63"/>
    </row>
    <row r="39" spans="2:9" x14ac:dyDescent="0.3">
      <c r="B39" s="52"/>
      <c r="C39" s="53"/>
      <c r="D39" s="53"/>
      <c r="E39" s="53"/>
      <c r="F39" s="53"/>
      <c r="G39" s="53"/>
      <c r="H39" s="53"/>
      <c r="I39" s="63"/>
    </row>
    <row r="40" spans="2:9" x14ac:dyDescent="0.3">
      <c r="B40" s="52"/>
      <c r="C40" s="53"/>
      <c r="D40" s="53"/>
      <c r="E40" s="53"/>
      <c r="F40" s="53"/>
      <c r="G40" s="53"/>
      <c r="H40" s="53"/>
      <c r="I40" s="63"/>
    </row>
    <row r="41" spans="2:9" x14ac:dyDescent="0.3">
      <c r="B41" s="52"/>
      <c r="C41" s="53"/>
      <c r="D41" s="53"/>
      <c r="E41" s="53"/>
      <c r="F41" s="53"/>
      <c r="G41" s="53"/>
      <c r="H41" s="53"/>
      <c r="I41" s="63"/>
    </row>
    <row r="42" spans="2:9" x14ac:dyDescent="0.3">
      <c r="B42" s="52"/>
      <c r="C42" s="53"/>
      <c r="D42" s="53"/>
      <c r="E42" s="53"/>
      <c r="F42" s="53"/>
      <c r="G42" s="53"/>
      <c r="H42" s="53"/>
      <c r="I42" s="63"/>
    </row>
    <row r="43" spans="2:9" x14ac:dyDescent="0.3">
      <c r="B43" s="52"/>
      <c r="C43" s="53"/>
      <c r="D43" s="53"/>
      <c r="E43" s="53"/>
      <c r="F43" s="53"/>
      <c r="G43" s="53"/>
      <c r="H43" s="53"/>
      <c r="I43" s="63"/>
    </row>
    <row r="44" spans="2:9" x14ac:dyDescent="0.3">
      <c r="B44" s="52"/>
      <c r="C44" s="53"/>
      <c r="D44" s="53"/>
      <c r="E44" s="53"/>
      <c r="F44" s="53"/>
      <c r="G44" s="53"/>
      <c r="H44" s="53"/>
      <c r="I44" s="63"/>
    </row>
    <row r="45" spans="2:9" x14ac:dyDescent="0.3">
      <c r="B45" s="52"/>
      <c r="C45" s="53"/>
      <c r="D45" s="53"/>
      <c r="E45" s="53"/>
      <c r="F45" s="53"/>
      <c r="G45" s="53"/>
      <c r="H45" s="53"/>
      <c r="I45" s="63"/>
    </row>
    <row r="46" spans="2:9" x14ac:dyDescent="0.3">
      <c r="B46" s="52"/>
      <c r="C46" s="53"/>
      <c r="D46" s="53"/>
      <c r="E46" s="53"/>
      <c r="F46" s="53"/>
      <c r="G46" s="53"/>
      <c r="H46" s="53"/>
      <c r="I46" s="63"/>
    </row>
    <row r="47" spans="2:9" ht="15" thickBot="1" x14ac:dyDescent="0.35">
      <c r="B47" s="64"/>
      <c r="C47" s="65"/>
      <c r="D47" s="65"/>
      <c r="E47" s="65"/>
      <c r="F47" s="65"/>
      <c r="G47" s="65"/>
      <c r="H47" s="65"/>
      <c r="I47" s="66"/>
    </row>
  </sheetData>
  <mergeCells count="2">
    <mergeCell ref="B32:I32"/>
    <mergeCell ref="B33:I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699E-B72A-48CB-8467-C743FD533786}">
  <dimension ref="B1:N54"/>
  <sheetViews>
    <sheetView showGridLines="0" tabSelected="1" zoomScale="70" zoomScaleNormal="70" workbookViewId="0">
      <selection activeCell="E11" sqref="E11"/>
    </sheetView>
  </sheetViews>
  <sheetFormatPr defaultRowHeight="14.4" x14ac:dyDescent="0.3"/>
  <cols>
    <col min="1" max="1" width="2.88671875" customWidth="1"/>
    <col min="2" max="2" width="4.44140625" customWidth="1"/>
    <col min="3" max="3" width="17.21875" bestFit="1" customWidth="1"/>
    <col min="4" max="4" width="14.44140625" bestFit="1" customWidth="1"/>
    <col min="5" max="5" width="8.21875" customWidth="1"/>
    <col min="6" max="6" width="10.5546875" bestFit="1" customWidth="1"/>
  </cols>
  <sheetData>
    <row r="1" spans="2:14" ht="15.6" customHeight="1" thickBot="1" x14ac:dyDescent="0.35"/>
    <row r="2" spans="2:14" ht="21.6" thickBot="1" x14ac:dyDescent="0.45">
      <c r="B2" s="54" t="s">
        <v>27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2:14" x14ac:dyDescent="0.3">
      <c r="B3" s="9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7"/>
    </row>
    <row r="4" spans="2:14" x14ac:dyDescent="0.3">
      <c r="B4" s="5"/>
      <c r="D4" s="68"/>
      <c r="E4" s="68"/>
      <c r="F4" s="68"/>
      <c r="G4" s="69" t="s">
        <v>116</v>
      </c>
      <c r="H4" s="68"/>
      <c r="I4" s="68"/>
      <c r="J4" s="68"/>
      <c r="K4" s="68"/>
      <c r="L4" s="68"/>
      <c r="M4" s="68"/>
      <c r="N4" s="4"/>
    </row>
    <row r="5" spans="2:14" x14ac:dyDescent="0.3">
      <c r="B5" s="5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4"/>
    </row>
    <row r="6" spans="2:14" ht="14.4" customHeight="1" x14ac:dyDescent="0.3">
      <c r="B6" s="5"/>
      <c r="C6" s="34" t="s">
        <v>26</v>
      </c>
      <c r="D6" s="34" t="s">
        <v>25</v>
      </c>
      <c r="E6" s="34"/>
      <c r="F6" s="34"/>
      <c r="H6" s="27" t="s">
        <v>24</v>
      </c>
      <c r="N6" s="4"/>
    </row>
    <row r="7" spans="2:14" x14ac:dyDescent="0.3">
      <c r="B7" s="5"/>
      <c r="C7" s="37" t="s">
        <v>22</v>
      </c>
      <c r="D7" s="37" t="s">
        <v>20</v>
      </c>
      <c r="E7" s="37" t="s">
        <v>19</v>
      </c>
      <c r="F7" s="37" t="s">
        <v>0</v>
      </c>
      <c r="H7" s="53" t="s">
        <v>23</v>
      </c>
      <c r="I7" s="53"/>
      <c r="J7" s="53"/>
      <c r="K7" s="53"/>
      <c r="L7" s="53"/>
      <c r="M7" s="53"/>
      <c r="N7" s="4"/>
    </row>
    <row r="8" spans="2:14" x14ac:dyDescent="0.3">
      <c r="B8" s="5"/>
      <c r="C8" s="21" t="s">
        <v>2</v>
      </c>
      <c r="D8" s="26">
        <v>0.30174956356946819</v>
      </c>
      <c r="E8" s="38">
        <v>0.69825043643053175</v>
      </c>
      <c r="F8" s="26">
        <v>1</v>
      </c>
      <c r="H8" s="53"/>
      <c r="I8" s="53"/>
      <c r="J8" s="53"/>
      <c r="K8" s="53"/>
      <c r="L8" s="53"/>
      <c r="M8" s="53"/>
      <c r="N8" s="4"/>
    </row>
    <row r="9" spans="2:14" x14ac:dyDescent="0.3">
      <c r="B9" s="5"/>
      <c r="C9" s="21" t="s">
        <v>1</v>
      </c>
      <c r="D9" s="26">
        <v>0.44821334609729352</v>
      </c>
      <c r="E9" s="26">
        <v>0.55178665390270654</v>
      </c>
      <c r="F9" s="26">
        <v>1</v>
      </c>
      <c r="H9" s="53"/>
      <c r="I9" s="53"/>
      <c r="J9" s="53"/>
      <c r="K9" s="53"/>
      <c r="L9" s="53"/>
      <c r="M9" s="53"/>
      <c r="N9" s="4"/>
    </row>
    <row r="10" spans="2:14" ht="14.4" customHeight="1" x14ac:dyDescent="0.3">
      <c r="B10" s="5"/>
      <c r="C10" s="39" t="s">
        <v>0</v>
      </c>
      <c r="D10" s="45">
        <v>0.407572559804249</v>
      </c>
      <c r="E10" s="45">
        <v>0.592427440195751</v>
      </c>
      <c r="F10" s="45">
        <v>1</v>
      </c>
      <c r="N10" s="4"/>
    </row>
    <row r="11" spans="2:14" x14ac:dyDescent="0.3">
      <c r="B11" s="5"/>
      <c r="N11" s="4"/>
    </row>
    <row r="12" spans="2:14" x14ac:dyDescent="0.3">
      <c r="B12" s="5"/>
      <c r="N12" s="4"/>
    </row>
    <row r="13" spans="2:14" ht="14.4" customHeight="1" x14ac:dyDescent="0.3">
      <c r="B13" s="5"/>
      <c r="C13" s="37" t="s">
        <v>22</v>
      </c>
      <c r="D13" s="37" t="s">
        <v>21</v>
      </c>
      <c r="N13" s="4"/>
    </row>
    <row r="14" spans="2:14" x14ac:dyDescent="0.3">
      <c r="B14" s="5"/>
      <c r="C14" s="41" t="s">
        <v>2</v>
      </c>
      <c r="D14" s="42">
        <v>6328.1876331166477</v>
      </c>
      <c r="N14" s="4"/>
    </row>
    <row r="15" spans="2:14" x14ac:dyDescent="0.3">
      <c r="B15" s="5"/>
      <c r="C15" s="21" t="s">
        <v>20</v>
      </c>
      <c r="D15" s="19">
        <v>9698.9583003281659</v>
      </c>
      <c r="N15" s="4"/>
    </row>
    <row r="16" spans="2:14" x14ac:dyDescent="0.3">
      <c r="B16" s="5"/>
      <c r="C16" s="21" t="s">
        <v>19</v>
      </c>
      <c r="D16" s="19">
        <v>4871.5060119444224</v>
      </c>
      <c r="N16" s="4"/>
    </row>
    <row r="17" spans="2:14" x14ac:dyDescent="0.3">
      <c r="B17" s="5"/>
      <c r="C17" s="43" t="s">
        <v>1</v>
      </c>
      <c r="D17" s="44">
        <v>7197.0516022430911</v>
      </c>
      <c r="H17" s="36"/>
      <c r="N17" s="4"/>
    </row>
    <row r="18" spans="2:14" x14ac:dyDescent="0.3">
      <c r="B18" s="5"/>
      <c r="C18" s="21" t="s">
        <v>20</v>
      </c>
      <c r="D18" s="19">
        <v>9784.2311900904424</v>
      </c>
      <c r="N18" s="4"/>
    </row>
    <row r="19" spans="2:14" x14ac:dyDescent="0.3">
      <c r="B19" s="5"/>
      <c r="C19" s="21" t="s">
        <v>19</v>
      </c>
      <c r="D19" s="19">
        <v>5095.4994682399638</v>
      </c>
      <c r="N19" s="4"/>
    </row>
    <row r="20" spans="2:14" x14ac:dyDescent="0.3">
      <c r="B20" s="5"/>
      <c r="C20" s="39" t="s">
        <v>0</v>
      </c>
      <c r="D20" s="40">
        <v>6955.9591336644808</v>
      </c>
      <c r="N20" s="4"/>
    </row>
    <row r="21" spans="2:14" x14ac:dyDescent="0.3">
      <c r="B21" s="5"/>
      <c r="C21" s="6"/>
      <c r="N21" s="4"/>
    </row>
    <row r="22" spans="2:14" x14ac:dyDescent="0.3">
      <c r="B22" s="5"/>
      <c r="C22" s="6"/>
      <c r="N22" s="4"/>
    </row>
    <row r="23" spans="2:14" x14ac:dyDescent="0.3">
      <c r="B23" s="5"/>
      <c r="C23" s="6"/>
      <c r="N23" s="4"/>
    </row>
    <row r="24" spans="2:14" x14ac:dyDescent="0.3">
      <c r="B24" s="5"/>
      <c r="E24" s="25" t="s">
        <v>18</v>
      </c>
      <c r="N24" s="4"/>
    </row>
    <row r="25" spans="2:14" x14ac:dyDescent="0.3">
      <c r="B25" s="5"/>
      <c r="N25" s="4"/>
    </row>
    <row r="26" spans="2:14" x14ac:dyDescent="0.3">
      <c r="B26" s="5"/>
      <c r="J26" s="21" t="s">
        <v>14</v>
      </c>
      <c r="N26" s="4"/>
    </row>
    <row r="27" spans="2:14" x14ac:dyDescent="0.3">
      <c r="B27" s="5"/>
      <c r="J27" s="20">
        <v>0.44819999999999999</v>
      </c>
      <c r="N27" s="4"/>
    </row>
    <row r="28" spans="2:14" x14ac:dyDescent="0.3">
      <c r="B28" s="5"/>
      <c r="J28" s="21"/>
      <c r="M28" s="18">
        <f>D18</f>
        <v>9784.2311900904424</v>
      </c>
      <c r="N28" s="4"/>
    </row>
    <row r="29" spans="2:14" x14ac:dyDescent="0.3">
      <c r="B29" s="5"/>
      <c r="C29" s="53" t="s">
        <v>17</v>
      </c>
      <c r="G29" s="21" t="s">
        <v>16</v>
      </c>
      <c r="J29" s="21"/>
      <c r="M29" s="19"/>
      <c r="N29" s="4"/>
    </row>
    <row r="30" spans="2:14" x14ac:dyDescent="0.3">
      <c r="B30" s="5"/>
      <c r="C30" s="53"/>
      <c r="D30" s="24">
        <f>G30-G42</f>
        <v>869.04065862355037</v>
      </c>
      <c r="F30" s="21"/>
      <c r="G30" s="22">
        <f>M28*J27+M35*J34</f>
        <v>7196.9890259733484</v>
      </c>
      <c r="J30" s="21"/>
      <c r="M30" s="19"/>
      <c r="N30" s="4"/>
    </row>
    <row r="31" spans="2:14" x14ac:dyDescent="0.3">
      <c r="B31" s="5"/>
      <c r="F31" s="21"/>
      <c r="G31" s="21"/>
      <c r="J31" s="21"/>
      <c r="M31" s="19"/>
      <c r="N31" s="4"/>
    </row>
    <row r="32" spans="2:14" x14ac:dyDescent="0.3">
      <c r="B32" s="5"/>
      <c r="F32" s="21"/>
      <c r="G32" s="21"/>
      <c r="J32" s="21"/>
      <c r="M32" s="19"/>
      <c r="N32" s="4"/>
    </row>
    <row r="33" spans="2:14" x14ac:dyDescent="0.3">
      <c r="B33" s="5"/>
      <c r="F33" s="21"/>
      <c r="G33" s="21"/>
      <c r="J33" s="21" t="s">
        <v>12</v>
      </c>
      <c r="M33" s="19"/>
      <c r="N33" s="4"/>
    </row>
    <row r="34" spans="2:14" ht="14.4" customHeight="1" x14ac:dyDescent="0.3">
      <c r="B34" s="5"/>
      <c r="F34" s="21"/>
      <c r="G34" s="21"/>
      <c r="J34" s="20">
        <v>0.55179999999999996</v>
      </c>
      <c r="M34" s="19"/>
      <c r="N34" s="4"/>
    </row>
    <row r="35" spans="2:14" x14ac:dyDescent="0.3">
      <c r="B35" s="5"/>
      <c r="F35" s="21"/>
      <c r="G35" s="21"/>
      <c r="J35" s="21"/>
      <c r="M35" s="18">
        <f>D19</f>
        <v>5095.4994682399638</v>
      </c>
      <c r="N35" s="4"/>
    </row>
    <row r="36" spans="2:14" x14ac:dyDescent="0.3">
      <c r="B36" s="5"/>
      <c r="C36" s="6" t="s">
        <v>15</v>
      </c>
      <c r="F36" s="21"/>
      <c r="G36" s="21"/>
      <c r="J36" s="21"/>
      <c r="M36" s="19"/>
      <c r="N36" s="4"/>
    </row>
    <row r="37" spans="2:14" x14ac:dyDescent="0.3">
      <c r="B37" s="5"/>
      <c r="C37" s="23"/>
      <c r="D37" s="22">
        <f>G30</f>
        <v>7196.9890259733484</v>
      </c>
      <c r="F37" s="21"/>
      <c r="G37" s="21"/>
      <c r="J37" s="21"/>
      <c r="M37" s="19"/>
      <c r="N37" s="4"/>
    </row>
    <row r="38" spans="2:14" x14ac:dyDescent="0.3">
      <c r="B38" s="5"/>
      <c r="C38" s="23"/>
      <c r="F38" s="21"/>
      <c r="G38" s="21"/>
      <c r="J38" s="21" t="s">
        <v>14</v>
      </c>
      <c r="M38" s="19"/>
      <c r="N38" s="4"/>
    </row>
    <row r="39" spans="2:14" x14ac:dyDescent="0.3">
      <c r="B39" s="5"/>
      <c r="C39" s="23"/>
      <c r="F39" s="21"/>
      <c r="G39" s="21"/>
      <c r="J39" s="20">
        <v>0.30170000000000002</v>
      </c>
      <c r="M39" s="19"/>
      <c r="N39" s="4"/>
    </row>
    <row r="40" spans="2:14" x14ac:dyDescent="0.3">
      <c r="B40" s="5"/>
      <c r="C40" s="23"/>
      <c r="F40" s="21"/>
      <c r="G40" s="21"/>
      <c r="J40" s="21"/>
      <c r="M40" s="18">
        <f>D15</f>
        <v>9698.9583003281659</v>
      </c>
      <c r="N40" s="4"/>
    </row>
    <row r="41" spans="2:14" x14ac:dyDescent="0.3">
      <c r="B41" s="5"/>
      <c r="G41" s="21" t="s">
        <v>13</v>
      </c>
      <c r="J41" s="21"/>
      <c r="M41" s="19"/>
      <c r="N41" s="4"/>
    </row>
    <row r="42" spans="2:14" x14ac:dyDescent="0.3">
      <c r="B42" s="5"/>
      <c r="F42" s="21"/>
      <c r="G42" s="22">
        <f>M40*J39+M47*J46</f>
        <v>6327.948367349798</v>
      </c>
      <c r="J42" s="21"/>
      <c r="M42" s="19"/>
      <c r="N42" s="4"/>
    </row>
    <row r="43" spans="2:14" x14ac:dyDescent="0.3">
      <c r="B43" s="5"/>
      <c r="J43" s="21"/>
      <c r="M43" s="19"/>
      <c r="N43" s="4"/>
    </row>
    <row r="44" spans="2:14" x14ac:dyDescent="0.3">
      <c r="B44" s="5"/>
      <c r="J44" s="21"/>
      <c r="M44" s="19"/>
      <c r="N44" s="4"/>
    </row>
    <row r="45" spans="2:14" x14ac:dyDescent="0.3">
      <c r="B45" s="5"/>
      <c r="J45" s="21" t="s">
        <v>12</v>
      </c>
      <c r="M45" s="19"/>
      <c r="N45" s="4"/>
    </row>
    <row r="46" spans="2:14" x14ac:dyDescent="0.3">
      <c r="B46" s="5"/>
      <c r="J46" s="20">
        <v>0.69830000000000003</v>
      </c>
      <c r="M46" s="19"/>
      <c r="N46" s="4"/>
    </row>
    <row r="47" spans="2:14" x14ac:dyDescent="0.3">
      <c r="B47" s="5"/>
      <c r="M47" s="18">
        <f>D16</f>
        <v>4871.5060119444224</v>
      </c>
      <c r="N47" s="4"/>
    </row>
    <row r="48" spans="2:14" x14ac:dyDescent="0.3">
      <c r="B48" s="5"/>
      <c r="N48" s="4"/>
    </row>
    <row r="49" spans="2:14" x14ac:dyDescent="0.3">
      <c r="B49" s="5"/>
      <c r="C49" s="17" t="s">
        <v>11</v>
      </c>
      <c r="D49" s="15"/>
      <c r="E49" s="15"/>
      <c r="F49" s="15"/>
      <c r="G49" s="15"/>
      <c r="H49" s="15"/>
      <c r="I49" s="16"/>
      <c r="J49" s="16"/>
      <c r="K49" s="16"/>
      <c r="L49" s="16"/>
      <c r="N49" s="4"/>
    </row>
    <row r="50" spans="2:14" ht="14.4" customHeight="1" x14ac:dyDescent="0.3">
      <c r="B50" s="5"/>
      <c r="C50" s="67" t="s">
        <v>10</v>
      </c>
      <c r="D50" s="67"/>
      <c r="E50" s="67"/>
      <c r="F50" s="67"/>
      <c r="G50" s="67"/>
      <c r="H50" s="67"/>
      <c r="I50" s="67"/>
      <c r="J50" s="67"/>
      <c r="K50" s="67"/>
      <c r="L50" s="67"/>
      <c r="M50" s="14"/>
      <c r="N50" s="4"/>
    </row>
    <row r="51" spans="2:14" x14ac:dyDescent="0.3">
      <c r="B51" s="5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14"/>
      <c r="N51" s="4"/>
    </row>
    <row r="52" spans="2:14" x14ac:dyDescent="0.3">
      <c r="B52" s="5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14"/>
      <c r="N52" s="4"/>
    </row>
    <row r="53" spans="2:14" x14ac:dyDescent="0.3">
      <c r="B53" s="5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14"/>
      <c r="N53" s="4"/>
    </row>
    <row r="54" spans="2:14" ht="15" thickBot="1" x14ac:dyDescent="0.35">
      <c r="B54" s="3"/>
      <c r="C54" s="2"/>
      <c r="D54" s="13"/>
      <c r="E54" s="13"/>
      <c r="F54" s="13"/>
      <c r="G54" s="13"/>
      <c r="H54" s="13"/>
      <c r="I54" s="13"/>
      <c r="J54" s="13"/>
      <c r="K54" s="2"/>
      <c r="L54" s="2"/>
      <c r="M54" s="2"/>
      <c r="N54" s="1"/>
    </row>
  </sheetData>
  <mergeCells count="4">
    <mergeCell ref="B2:N2"/>
    <mergeCell ref="H7:M9"/>
    <mergeCell ref="C29:C30"/>
    <mergeCell ref="C50:L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SQL_Analysis_Design</vt:lpstr>
      <vt:lpstr>Sales_Performance</vt:lpstr>
      <vt:lpstr>Regression_Model_Plan</vt:lpstr>
      <vt:lpstr>Regression_Results</vt:lpstr>
      <vt:lpstr>Decision_Tree_Model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Tanguay</dc:creator>
  <cp:lastModifiedBy>Yann Tanguay</cp:lastModifiedBy>
  <dcterms:created xsi:type="dcterms:W3CDTF">2026-03-19T11:19:46Z</dcterms:created>
  <dcterms:modified xsi:type="dcterms:W3CDTF">2026-03-26T11:58:07Z</dcterms:modified>
</cp:coreProperties>
</file>